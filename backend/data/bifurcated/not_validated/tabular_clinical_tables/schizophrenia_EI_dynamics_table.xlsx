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fsr324_austin_utexas_edu/Documents/EEG SZ-55ch IRASA/"/>
    </mc:Choice>
  </mc:AlternateContent>
  <xr:revisionPtr revIDLastSave="5" documentId="11_9B701708790F74A2F2129D3D65D9AA56A1B597AE" xr6:coauthVersionLast="47" xr6:coauthVersionMax="47" xr10:uidLastSave="{6B759756-9077-4205-81A4-B98016409569}"/>
  <bookViews>
    <workbookView xWindow="-23148" yWindow="12804" windowWidth="23256" windowHeight="12576" tabRatio="500" activeTab="2" xr2:uid="{00000000-000D-0000-FFFF-FFFF00000000}"/>
  </bookViews>
  <sheets>
    <sheet name="Demographic" sheetId="1" r:id="rId1"/>
    <sheet name="pharmacotheraphy" sheetId="2" r:id="rId2"/>
    <sheet name="current_medication" sheetId="3" r:id="rId3"/>
    <sheet name="PAN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I51" i="4" l="1"/>
  <c r="AH51" i="4"/>
  <c r="AG51" i="4"/>
  <c r="AF51" i="4"/>
  <c r="AI50" i="4"/>
  <c r="AH50" i="4"/>
  <c r="AG50" i="4"/>
  <c r="AF50" i="4"/>
  <c r="AI49" i="4"/>
  <c r="AH49" i="4"/>
  <c r="AG49" i="4"/>
  <c r="AF49" i="4"/>
  <c r="AI48" i="4"/>
  <c r="AH48" i="4"/>
  <c r="AG48" i="4"/>
  <c r="AF48" i="4"/>
  <c r="AI47" i="4"/>
  <c r="AH47" i="4"/>
  <c r="AG47" i="4"/>
  <c r="AF47" i="4"/>
  <c r="AI46" i="4"/>
  <c r="AH46" i="4"/>
  <c r="AG46" i="4"/>
  <c r="AF46" i="4"/>
  <c r="AI45" i="4"/>
  <c r="AH45" i="4"/>
  <c r="AG45" i="4"/>
  <c r="AF45" i="4"/>
  <c r="AI44" i="4"/>
  <c r="AH44" i="4"/>
  <c r="AG44" i="4"/>
  <c r="AF44" i="4"/>
  <c r="AI43" i="4"/>
  <c r="AH43" i="4"/>
  <c r="AG43" i="4"/>
  <c r="AF43" i="4"/>
  <c r="AI42" i="4"/>
  <c r="AH42" i="4"/>
  <c r="AG42" i="4"/>
  <c r="AF42" i="4"/>
  <c r="AI41" i="4"/>
  <c r="AH41" i="4"/>
  <c r="AG41" i="4"/>
  <c r="AF41" i="4"/>
  <c r="AI40" i="4"/>
  <c r="AH40" i="4"/>
  <c r="AG40" i="4"/>
  <c r="AF40" i="4"/>
  <c r="AI39" i="4"/>
  <c r="AH39" i="4"/>
  <c r="AG39" i="4"/>
  <c r="AF39" i="4"/>
  <c r="AI38" i="4"/>
  <c r="AH38" i="4"/>
  <c r="AG38" i="4"/>
  <c r="AF38" i="4"/>
  <c r="AI37" i="4"/>
  <c r="AH37" i="4"/>
  <c r="AG37" i="4"/>
  <c r="AF37" i="4"/>
  <c r="AI36" i="4"/>
  <c r="AH36" i="4"/>
  <c r="AG36" i="4"/>
  <c r="AF36" i="4"/>
  <c r="AI35" i="4"/>
  <c r="AH35" i="4"/>
  <c r="AG35" i="4"/>
  <c r="AF35" i="4"/>
  <c r="AI34" i="4"/>
  <c r="AH34" i="4"/>
  <c r="AG34" i="4"/>
  <c r="AF34" i="4"/>
  <c r="AI33" i="4"/>
  <c r="AH33" i="4"/>
  <c r="AG33" i="4"/>
  <c r="AF33" i="4"/>
  <c r="AI32" i="4"/>
  <c r="AH32" i="4"/>
  <c r="AG32" i="4"/>
  <c r="AF32" i="4"/>
  <c r="AI31" i="4"/>
  <c r="AH31" i="4"/>
  <c r="AG31" i="4"/>
  <c r="AF31" i="4"/>
  <c r="AI30" i="4"/>
  <c r="AH30" i="4"/>
  <c r="AG30" i="4"/>
  <c r="AF30" i="4"/>
  <c r="AI29" i="4"/>
  <c r="AH29" i="4"/>
  <c r="AG29" i="4"/>
  <c r="AF29" i="4"/>
  <c r="AI28" i="4"/>
  <c r="AH28" i="4"/>
  <c r="AG28" i="4"/>
  <c r="AF28" i="4"/>
  <c r="AI27" i="4"/>
  <c r="AH27" i="4"/>
  <c r="AG27" i="4"/>
  <c r="AF27" i="4"/>
  <c r="AI25" i="4"/>
  <c r="AH25" i="4"/>
  <c r="AG25" i="4"/>
  <c r="AF25" i="4"/>
  <c r="AI24" i="4"/>
  <c r="AH24" i="4"/>
  <c r="AG24" i="4"/>
  <c r="AF24" i="4"/>
  <c r="AI23" i="4"/>
  <c r="AH23" i="4"/>
  <c r="AG23" i="4"/>
  <c r="AF23" i="4"/>
  <c r="AI22" i="4"/>
  <c r="AH22" i="4"/>
  <c r="AG22" i="4"/>
  <c r="AF22" i="4"/>
  <c r="AI21" i="4"/>
  <c r="AH21" i="4"/>
  <c r="AG21" i="4"/>
  <c r="AF21" i="4"/>
  <c r="AI20" i="4"/>
  <c r="AH20" i="4"/>
  <c r="AG20" i="4"/>
  <c r="AF20" i="4"/>
  <c r="AI19" i="4"/>
  <c r="AH19" i="4"/>
  <c r="AG19" i="4"/>
  <c r="AF19" i="4"/>
  <c r="AI18" i="4"/>
  <c r="AH18" i="4"/>
  <c r="AG18" i="4"/>
  <c r="AF18" i="4"/>
  <c r="AI17" i="4"/>
  <c r="AH17" i="4"/>
  <c r="AG17" i="4"/>
  <c r="AF17" i="4"/>
  <c r="AI16" i="4"/>
  <c r="AH16" i="4"/>
  <c r="AG16" i="4"/>
  <c r="AF16" i="4"/>
  <c r="AI15" i="4"/>
  <c r="AH15" i="4"/>
  <c r="AG15" i="4"/>
  <c r="AF15" i="4"/>
  <c r="AI14" i="4"/>
  <c r="AH14" i="4"/>
  <c r="AG14" i="4"/>
  <c r="AF14" i="4"/>
  <c r="AI13" i="4"/>
  <c r="AH13" i="4"/>
  <c r="AG13" i="4"/>
  <c r="AF13" i="4"/>
  <c r="AI12" i="4"/>
  <c r="AH12" i="4"/>
  <c r="AG12" i="4"/>
  <c r="AF12" i="4"/>
  <c r="AI11" i="4"/>
  <c r="AH11" i="4"/>
  <c r="AG11" i="4"/>
  <c r="AF11" i="4"/>
  <c r="AI10" i="4"/>
  <c r="AH10" i="4"/>
  <c r="AG10" i="4"/>
  <c r="AF10" i="4"/>
  <c r="AI9" i="4"/>
  <c r="AH9" i="4"/>
  <c r="AG9" i="4"/>
  <c r="AF9" i="4"/>
  <c r="AI8" i="4"/>
  <c r="AH8" i="4"/>
  <c r="AG8" i="4"/>
  <c r="AF8" i="4"/>
  <c r="AI7" i="4"/>
  <c r="AH7" i="4"/>
  <c r="AG7" i="4"/>
  <c r="AF7" i="4"/>
  <c r="AI6" i="4"/>
  <c r="AH6" i="4"/>
  <c r="AG6" i="4"/>
  <c r="AF6" i="4"/>
  <c r="AI5" i="4"/>
  <c r="AH5" i="4"/>
  <c r="AG5" i="4"/>
  <c r="AF5" i="4"/>
  <c r="AI4" i="4"/>
  <c r="AH4" i="4"/>
  <c r="AG4" i="4"/>
  <c r="AF4" i="4"/>
  <c r="AI3" i="4"/>
  <c r="AH3" i="4"/>
  <c r="AG3" i="4"/>
  <c r="AF3" i="4"/>
  <c r="AI2" i="4"/>
  <c r="AH2" i="4"/>
  <c r="AG2" i="4"/>
  <c r="AF2" i="4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<sst xmlns="http://schemas.openxmlformats.org/spreadsheetml/2006/main" count="656" uniqueCount="239">
  <si>
    <t>code</t>
  </si>
  <si>
    <t>BNO</t>
  </si>
  <si>
    <t>age</t>
  </si>
  <si>
    <t>sex</t>
  </si>
  <si>
    <t>edu</t>
  </si>
  <si>
    <t>edu_years</t>
  </si>
  <si>
    <t>first_diag</t>
  </si>
  <si>
    <t>years_scz</t>
  </si>
  <si>
    <t>sch_001</t>
  </si>
  <si>
    <t>F2000</t>
  </si>
  <si>
    <t>m</t>
  </si>
  <si>
    <t>sch_002</t>
  </si>
  <si>
    <t>F2010</t>
  </si>
  <si>
    <t>sch_003</t>
  </si>
  <si>
    <t>f</t>
  </si>
  <si>
    <t>sch_004</t>
  </si>
  <si>
    <t>F2520, F2010</t>
  </si>
  <si>
    <t>sch_005</t>
  </si>
  <si>
    <t>F2520</t>
  </si>
  <si>
    <t>sch_006</t>
  </si>
  <si>
    <t>sch_007</t>
  </si>
  <si>
    <t>sch_008</t>
  </si>
  <si>
    <t>F2020</t>
  </si>
  <si>
    <t>14.5</t>
  </si>
  <si>
    <t>sch_009</t>
  </si>
  <si>
    <t>15</t>
  </si>
  <si>
    <t>sch_010</t>
  </si>
  <si>
    <t>sch_011</t>
  </si>
  <si>
    <t>sch_012</t>
  </si>
  <si>
    <t>sch_013</t>
  </si>
  <si>
    <t>sch_014</t>
  </si>
  <si>
    <t>sch_015</t>
  </si>
  <si>
    <t>sch_016</t>
  </si>
  <si>
    <t>sch_017</t>
  </si>
  <si>
    <t>sch_018</t>
  </si>
  <si>
    <t>sch_019</t>
  </si>
  <si>
    <t>sch_020</t>
  </si>
  <si>
    <t>sch_021</t>
  </si>
  <si>
    <t>sch_022</t>
  </si>
  <si>
    <t>sch_023</t>
  </si>
  <si>
    <t>NMDA</t>
  </si>
  <si>
    <t>sch_024</t>
  </si>
  <si>
    <t>sch_025</t>
  </si>
  <si>
    <t>sch_026</t>
  </si>
  <si>
    <t>sch_027</t>
  </si>
  <si>
    <t>sch_028</t>
  </si>
  <si>
    <t>sch_029</t>
  </si>
  <si>
    <t>Abilify</t>
  </si>
  <si>
    <t>sch_030</t>
  </si>
  <si>
    <t>sch_031</t>
  </si>
  <si>
    <t>F2500</t>
  </si>
  <si>
    <t>sch_032</t>
  </si>
  <si>
    <t>5</t>
  </si>
  <si>
    <t>sch_033</t>
  </si>
  <si>
    <t>Amitrex</t>
  </si>
  <si>
    <t>sch_034</t>
  </si>
  <si>
    <t>sch_035</t>
  </si>
  <si>
    <t>sch_036</t>
  </si>
  <si>
    <t>sch_037</t>
  </si>
  <si>
    <t>sch_038</t>
  </si>
  <si>
    <t>sch_039</t>
  </si>
  <si>
    <t>F2090</t>
  </si>
  <si>
    <t>sch_040</t>
  </si>
  <si>
    <t>sch_041</t>
  </si>
  <si>
    <t>Leponex</t>
  </si>
  <si>
    <t>sch_042</t>
  </si>
  <si>
    <t>sch_043</t>
  </si>
  <si>
    <t>sch_044</t>
  </si>
  <si>
    <t>sch_045</t>
  </si>
  <si>
    <t>sch_046</t>
  </si>
  <si>
    <t>sch_047</t>
  </si>
  <si>
    <t>sch_048</t>
  </si>
  <si>
    <t>sch_049</t>
  </si>
  <si>
    <t>sch_050</t>
  </si>
  <si>
    <t>gender</t>
  </si>
  <si>
    <t>sch_101</t>
  </si>
  <si>
    <t>sch_102</t>
  </si>
  <si>
    <t>sch_103</t>
  </si>
  <si>
    <t>sch_104</t>
  </si>
  <si>
    <t>sch_105</t>
  </si>
  <si>
    <t>sch_106</t>
  </si>
  <si>
    <t>sch_107</t>
  </si>
  <si>
    <t>sch_108</t>
  </si>
  <si>
    <t>sch_109</t>
  </si>
  <si>
    <t>sch_110</t>
  </si>
  <si>
    <t>sch_111</t>
  </si>
  <si>
    <t>sch_112</t>
  </si>
  <si>
    <t>sch_113</t>
  </si>
  <si>
    <t>sch_114</t>
  </si>
  <si>
    <t>sch_115</t>
  </si>
  <si>
    <t>sch_116</t>
  </si>
  <si>
    <t>sch_117</t>
  </si>
  <si>
    <t>sch_118</t>
  </si>
  <si>
    <t>sch_119</t>
  </si>
  <si>
    <t>3,4,5</t>
  </si>
  <si>
    <t>sch_120</t>
  </si>
  <si>
    <t>sch_121</t>
  </si>
  <si>
    <t>sch_122</t>
  </si>
  <si>
    <t>sch_123</t>
  </si>
  <si>
    <t>sch_124</t>
  </si>
  <si>
    <t>sch_125</t>
  </si>
  <si>
    <t>sch_126</t>
  </si>
  <si>
    <t>sch_127</t>
  </si>
  <si>
    <t>sch_128</t>
  </si>
  <si>
    <t>sch_129</t>
  </si>
  <si>
    <t>sch_130</t>
  </si>
  <si>
    <t>sch_131</t>
  </si>
  <si>
    <t>sch_132</t>
  </si>
  <si>
    <t>sch_133</t>
  </si>
  <si>
    <t>sch_134</t>
  </si>
  <si>
    <t>sch_135</t>
  </si>
  <si>
    <t>sch_136</t>
  </si>
  <si>
    <t>sch_137</t>
  </si>
  <si>
    <t>sch_138</t>
  </si>
  <si>
    <t>sch_139</t>
  </si>
  <si>
    <t>sch_140</t>
  </si>
  <si>
    <t>sch_333</t>
  </si>
  <si>
    <t>Quetiapin</t>
  </si>
  <si>
    <t>Seroquel XR</t>
  </si>
  <si>
    <t>Risperidon</t>
  </si>
  <si>
    <t>Risperdal-Consta</t>
  </si>
  <si>
    <t>Xeplion</t>
  </si>
  <si>
    <t>Fluanxol-depo (2h)</t>
  </si>
  <si>
    <t>Cisordinol-depo (2h)</t>
  </si>
  <si>
    <t>Haloperidol</t>
  </si>
  <si>
    <t>Olanzapin</t>
  </si>
  <si>
    <t>Cisordinol</t>
  </si>
  <si>
    <t>Zeldox</t>
  </si>
  <si>
    <t>CPZ equivalent dose</t>
  </si>
  <si>
    <t>Lithium</t>
  </si>
  <si>
    <t>Valproate</t>
  </si>
  <si>
    <t>Lamotrigin</t>
  </si>
  <si>
    <t>Duloxetin</t>
  </si>
  <si>
    <t>Clonazepam</t>
  </si>
  <si>
    <t>Alprazolam</t>
  </si>
  <si>
    <t>Ziprasidon</t>
  </si>
  <si>
    <t>Sertralin</t>
  </si>
  <si>
    <t>Citalopram</t>
  </si>
  <si>
    <t>Trittico</t>
  </si>
  <si>
    <t>Note</t>
  </si>
  <si>
    <t>1-0-1</t>
  </si>
  <si>
    <t>Rexetin 20mg</t>
  </si>
  <si>
    <t>1/2-0-1</t>
  </si>
  <si>
    <t>1  (rivotril)</t>
  </si>
  <si>
    <t>1-0-1,5</t>
  </si>
  <si>
    <t>0,5-0,5-2 (rivotril)</t>
  </si>
  <si>
    <t>0,5-0-0,5 (rivotril)</t>
  </si>
  <si>
    <t>0,25-0,5-0 (rivotril)</t>
  </si>
  <si>
    <t>Bisoprolol 5-5-0</t>
  </si>
  <si>
    <t>7.5</t>
  </si>
  <si>
    <t>0,5-0,5-1 (rivotril)</t>
  </si>
  <si>
    <t>0,5-0-0,5</t>
  </si>
  <si>
    <t>1/2-0-1/2</t>
  </si>
  <si>
    <t>restigulin 30 mg-aripiprazol-abilify</t>
  </si>
  <si>
    <t>0-0-0,5</t>
  </si>
  <si>
    <t>medication_today</t>
  </si>
  <si>
    <t>coffee</t>
  </si>
  <si>
    <t>coffee_today</t>
  </si>
  <si>
    <t>cigarette</t>
  </si>
  <si>
    <t>cigarette_today</t>
  </si>
  <si>
    <t>epilepsy</t>
  </si>
  <si>
    <t>head inj.</t>
  </si>
  <si>
    <t>handedness</t>
  </si>
  <si>
    <t>Amitrex 400 mg, Sertralin 5 mg, (Propranolol 20 mg)</t>
  </si>
  <si>
    <t>0-3</t>
  </si>
  <si>
    <t>r</t>
  </si>
  <si>
    <t>-</t>
  </si>
  <si>
    <t>Depakin 300 mg, Leponex 25 mg</t>
  </si>
  <si>
    <t>Liticarb 1, Abilify 15 mg, Akineton 1</t>
  </si>
  <si>
    <t>Liticarb 200 mg, Leponex 250 mg</t>
  </si>
  <si>
    <t>a</t>
  </si>
  <si>
    <t>Olanzapin 405 mg, Amitrex 200 mg</t>
  </si>
  <si>
    <t>Rivotril 1mg, Rexetin 20 mg</t>
  </si>
  <si>
    <t>30-40</t>
  </si>
  <si>
    <t>Seroquel 200 mg, Rivotril 0,5, Liticarb 1/2</t>
  </si>
  <si>
    <t>Liticarb 1 mg, Leponex 75 mg, Amitrex 400 mg</t>
  </si>
  <si>
    <t>Rivotril 0,5 mg,  Ripedon 2 mg,  (Huma-pronol 20 mg)</t>
  </si>
  <si>
    <t>Leponex 75 mg, Amitrex 800 mg, Rivotril 0,5 mg</t>
  </si>
  <si>
    <t>30 mg Abilify, 0,25 mg Rivotril, (5mg Bisoprolol)</t>
  </si>
  <si>
    <t>Haloperidol 3 mg, Rivotril 1 mg, Liticarb 1/2</t>
  </si>
  <si>
    <t>Quetiapin 400 mg, Depakin 500 mg</t>
  </si>
  <si>
    <t>Abilify 15 mg</t>
  </si>
  <si>
    <t>Sertralin 50mg, Quentiax 2x100 mg, Amitrex 100 + 50 mg</t>
  </si>
  <si>
    <t>Leponex  100 mg, Amitrex 200 mg</t>
  </si>
  <si>
    <t>15-20</t>
  </si>
  <si>
    <t>Rivotril 0,5 mg, Humapronol 20 mg</t>
  </si>
  <si>
    <t>Rivotril 0,5 mg</t>
  </si>
  <si>
    <t>Ripedon 2 mg</t>
  </si>
  <si>
    <t>l</t>
  </si>
  <si>
    <t xml:space="preserve">Leponex 37,5 mg, inj Fluanxol 20 mg, Liticarb 0,5 </t>
  </si>
  <si>
    <t>Liticarb 0,5, Humapronol 20, Leponex 25</t>
  </si>
  <si>
    <t>Amitrex 200 mg</t>
  </si>
  <si>
    <t>Leponex 50 mg, Topirmata 50 mg, Humapronol 20 mg</t>
  </si>
  <si>
    <t>Bisoprolol 5 mg</t>
  </si>
  <si>
    <t>Rivotril 2x0,5 mg, Quetiapin 50-50-100 mg, Humapronol 2x40 mg, Arispa 10 mg</t>
  </si>
  <si>
    <t>Abilify 15 mg, Rivotril 0,5 mg</t>
  </si>
  <si>
    <t>Leponex, Prozac</t>
  </si>
  <si>
    <t>Leponex 200 mg, Haloperidol, Emolzul 40 mg, Humapronol 20 mg</t>
  </si>
  <si>
    <t>Olanzapin 5 mg, Rivotril 0,5 mg</t>
  </si>
  <si>
    <t>Leponex 25 mg</t>
  </si>
  <si>
    <t>Abilify 15 mg, Rivotril 1 mg</t>
  </si>
  <si>
    <t>Risperdal 5 mg, Rivotril 2,5 mg</t>
  </si>
  <si>
    <t>Olanzapin 5 mg, Rivotril 2 mg</t>
  </si>
  <si>
    <t>Liticarb500-0-250 mg,Abilify 15 mg,Escitil 5 mg,Olanzapin 5 mg</t>
  </si>
  <si>
    <t>0-1</t>
  </si>
  <si>
    <t>P1</t>
  </si>
  <si>
    <t>P2</t>
  </si>
  <si>
    <t>P3</t>
  </si>
  <si>
    <t>P4</t>
  </si>
  <si>
    <t>P5</t>
  </si>
  <si>
    <t>P6</t>
  </si>
  <si>
    <t>P7</t>
  </si>
  <si>
    <t>N1</t>
  </si>
  <si>
    <t>N2</t>
  </si>
  <si>
    <t>N3</t>
  </si>
  <si>
    <t>N4</t>
  </si>
  <si>
    <t>N5</t>
  </si>
  <si>
    <t>N6</t>
  </si>
  <si>
    <t>N7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</si>
  <si>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</si>
  <si>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</si>
  <si>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</si>
  <si>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</si>
  <si>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</si>
  <si>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</si>
  <si>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</si>
  <si>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</si>
  <si>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</si>
  <si>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</si>
  <si>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</si>
  <si>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</si>
  <si>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</si>
  <si>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</si>
  <si>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</si>
  <si>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</si>
  <si>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SUM</t>
  </si>
  <si>
    <t>SUM(p)</t>
  </si>
  <si>
    <t>SUM(n)</t>
  </si>
  <si>
    <t>SUM(g)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</si>
</sst>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\.d"/>
  </numFmts>
  <fonts count="9" x14ac:knownFonts="1">
    <font>
      <sz val="10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2DAD1"/>
        <bgColor rgb="FFBCE4E5"/>
      </patternFill>
    </fill>
    <fill>
      <patternFill patternType="solid">
        <fgColor rgb="FFBCE4E5"/>
        <bgColor rgb="FFA2DAD1"/>
      </patternFill>
    </fill>
    <fill>
      <patternFill patternType="solid">
        <fgColor rgb="FFED1C24"/>
        <bgColor rgb="FF993300"/>
      </patternFill>
    </fill>
    <fill>
      <patternFill patternType="solid">
        <fgColor rgb="FFFFD965"/>
        <bgColor rgb="FFFFCC66"/>
      </patternFill>
    </fill>
    <fill>
      <patternFill patternType="solid">
        <fgColor rgb="FFFFCC66"/>
        <bgColor rgb="FFFFD9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2" fillId="5" borderId="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4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E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5"/>
      <rgbColor rgb="FFA2DAD1"/>
      <rgbColor rgb="FFFF99CC"/>
      <rgbColor rgb="FFCC99FF"/>
      <rgbColor rgb="FFFFCC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3"/>
  <sheetViews>
    <sheetView zoomScaleNormal="100" workbookViewId="0">
      <selection activeCell="I10" sqref="I10"/>
    </sheetView>
  </sheetViews>
  <sheetFormatPr defaultRowHeight="14" x14ac:dyDescent="0.3"/>
  <cols>
    <col min="1" max="1" width="11" style="1" customWidth="1"/>
    <col min="2" max="2" width="18.54296875" style="1" customWidth="1"/>
    <col min="3" max="5" width="11" style="1" customWidth="1"/>
    <col min="6" max="6" width="13.81640625" style="1" customWidth="1"/>
    <col min="7" max="7" width="12.26953125" style="1" customWidth="1"/>
    <col min="8" max="8" width="14.1796875" style="1" customWidth="1"/>
    <col min="9" max="9" width="69.6328125" style="31" customWidth="1"/>
    <col min="10" max="10" width="25.6328125" customWidth="1"/>
    <col min="11" max="1025" width="11.54296875" style="1"/>
  </cols>
  <sheetData>
    <row r="1" spans="1:9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6"/>
    </row>
    <row r="2" spans="1:9" ht="14.5" x14ac:dyDescent="0.35">
      <c r="A2" s="3" t="s">
        <v>8</v>
      </c>
      <c r="B2" s="3" t="s">
        <v>9</v>
      </c>
      <c r="C2" s="3">
        <v>46</v>
      </c>
      <c r="D2" s="3" t="s">
        <v>10</v>
      </c>
      <c r="E2" s="3">
        <v>4</v>
      </c>
      <c r="F2" s="3">
        <v>14</v>
      </c>
      <c r="G2" s="4">
        <v>2005</v>
      </c>
      <c r="H2" s="4">
        <f t="shared" ref="H2:H42" si="0">2017-G2</f>
        <v>12</v>
      </c>
      <c r="I2" s="27"/>
    </row>
    <row r="3" spans="1:9" ht="14.5" x14ac:dyDescent="0.35">
      <c r="A3" s="3" t="s">
        <v>11</v>
      </c>
      <c r="B3" s="3" t="s">
        <v>12</v>
      </c>
      <c r="C3" s="3">
        <v>34</v>
      </c>
      <c r="D3" s="3" t="s">
        <v>10</v>
      </c>
      <c r="E3" s="3">
        <v>4</v>
      </c>
      <c r="F3" s="3">
        <v>16</v>
      </c>
      <c r="G3" s="4">
        <v>2007</v>
      </c>
      <c r="H3" s="4">
        <f t="shared" si="0"/>
        <v>10</v>
      </c>
      <c r="I3" s="27"/>
    </row>
    <row r="4" spans="1:9" ht="14.5" x14ac:dyDescent="0.35">
      <c r="A4" s="3" t="s">
        <v>13</v>
      </c>
      <c r="B4" s="3" t="s">
        <v>9</v>
      </c>
      <c r="C4" s="3">
        <v>41</v>
      </c>
      <c r="D4" s="3" t="s">
        <v>14</v>
      </c>
      <c r="E4" s="3">
        <v>6</v>
      </c>
      <c r="F4" s="3">
        <v>18</v>
      </c>
      <c r="G4" s="4">
        <v>2006</v>
      </c>
      <c r="H4" s="4">
        <f t="shared" si="0"/>
        <v>11</v>
      </c>
      <c r="I4" s="27"/>
    </row>
    <row r="5" spans="1:9" ht="14.5" x14ac:dyDescent="0.35">
      <c r="A5" s="3" t="s">
        <v>15</v>
      </c>
      <c r="B5" s="3" t="s">
        <v>16</v>
      </c>
      <c r="C5" s="3">
        <v>33</v>
      </c>
      <c r="D5" s="3" t="s">
        <v>10</v>
      </c>
      <c r="E5" s="3">
        <v>5</v>
      </c>
      <c r="F5" s="3">
        <v>14</v>
      </c>
      <c r="G5" s="5">
        <v>2003</v>
      </c>
      <c r="H5" s="4">
        <f t="shared" si="0"/>
        <v>14</v>
      </c>
      <c r="I5" s="27"/>
    </row>
    <row r="6" spans="1:9" ht="14.5" x14ac:dyDescent="0.35">
      <c r="A6" s="3" t="s">
        <v>17</v>
      </c>
      <c r="B6" s="3" t="s">
        <v>18</v>
      </c>
      <c r="C6" s="3">
        <v>37</v>
      </c>
      <c r="D6" s="3" t="s">
        <v>10</v>
      </c>
      <c r="E6" s="3">
        <v>6</v>
      </c>
      <c r="F6" s="3">
        <v>18</v>
      </c>
      <c r="G6" s="4">
        <v>2003</v>
      </c>
      <c r="H6" s="4">
        <f t="shared" si="0"/>
        <v>14</v>
      </c>
      <c r="I6" s="27"/>
    </row>
    <row r="7" spans="1:9" ht="14.5" x14ac:dyDescent="0.35">
      <c r="A7" s="3" t="s">
        <v>19</v>
      </c>
      <c r="B7" s="3" t="s">
        <v>18</v>
      </c>
      <c r="C7" s="3">
        <v>42</v>
      </c>
      <c r="D7" s="3" t="s">
        <v>14</v>
      </c>
      <c r="E7" s="3">
        <v>5</v>
      </c>
      <c r="F7" s="3">
        <v>13</v>
      </c>
      <c r="G7" s="4">
        <v>1991</v>
      </c>
      <c r="H7" s="4">
        <f t="shared" si="0"/>
        <v>26</v>
      </c>
      <c r="I7" s="27"/>
    </row>
    <row r="8" spans="1:9" ht="14.5" x14ac:dyDescent="0.35">
      <c r="A8" s="3" t="s">
        <v>20</v>
      </c>
      <c r="B8" s="3" t="s">
        <v>12</v>
      </c>
      <c r="C8" s="3">
        <v>32</v>
      </c>
      <c r="D8" s="3" t="s">
        <v>14</v>
      </c>
      <c r="E8" s="3">
        <v>6</v>
      </c>
      <c r="F8" s="3">
        <v>16</v>
      </c>
      <c r="G8" s="3">
        <v>2009</v>
      </c>
      <c r="H8" s="3">
        <f t="shared" si="0"/>
        <v>8</v>
      </c>
      <c r="I8" s="27"/>
    </row>
    <row r="9" spans="1:9" ht="14.5" x14ac:dyDescent="0.35">
      <c r="A9" s="3" t="s">
        <v>21</v>
      </c>
      <c r="B9" s="3" t="s">
        <v>22</v>
      </c>
      <c r="C9" s="3">
        <v>45</v>
      </c>
      <c r="D9" s="3" t="s">
        <v>10</v>
      </c>
      <c r="E9" s="3">
        <v>5</v>
      </c>
      <c r="F9" s="6" t="s">
        <v>23</v>
      </c>
      <c r="G9" s="3">
        <v>1996</v>
      </c>
      <c r="H9" s="3">
        <f t="shared" si="0"/>
        <v>21</v>
      </c>
      <c r="I9" s="27"/>
    </row>
    <row r="10" spans="1:9" ht="14.5" x14ac:dyDescent="0.35">
      <c r="A10" s="3" t="s">
        <v>24</v>
      </c>
      <c r="B10" s="3" t="s">
        <v>9</v>
      </c>
      <c r="C10" s="3">
        <v>45</v>
      </c>
      <c r="D10" s="3" t="s">
        <v>14</v>
      </c>
      <c r="E10" s="3">
        <v>5</v>
      </c>
      <c r="F10" s="6" t="s">
        <v>25</v>
      </c>
      <c r="G10" s="3">
        <v>2013</v>
      </c>
      <c r="H10" s="3">
        <f t="shared" si="0"/>
        <v>4</v>
      </c>
      <c r="I10" s="27"/>
    </row>
    <row r="11" spans="1:9" ht="14.5" x14ac:dyDescent="0.35">
      <c r="A11" s="3" t="s">
        <v>26</v>
      </c>
      <c r="B11" s="3" t="s">
        <v>18</v>
      </c>
      <c r="C11" s="3">
        <v>36</v>
      </c>
      <c r="D11" s="3" t="s">
        <v>14</v>
      </c>
      <c r="E11" s="3">
        <v>6</v>
      </c>
      <c r="F11" s="3">
        <v>17</v>
      </c>
      <c r="G11" s="3">
        <v>2000</v>
      </c>
      <c r="H11" s="3">
        <f t="shared" si="0"/>
        <v>17</v>
      </c>
      <c r="I11" s="27"/>
    </row>
    <row r="12" spans="1:9" ht="14.5" x14ac:dyDescent="0.35">
      <c r="A12" s="3" t="s">
        <v>27</v>
      </c>
      <c r="B12" s="7" t="s">
        <v>22</v>
      </c>
      <c r="C12" s="3">
        <v>31</v>
      </c>
      <c r="D12" s="3" t="s">
        <v>10</v>
      </c>
      <c r="E12" s="3">
        <v>6</v>
      </c>
      <c r="F12" s="3">
        <v>18</v>
      </c>
      <c r="G12" s="3">
        <v>2012</v>
      </c>
      <c r="H12" s="3">
        <f t="shared" si="0"/>
        <v>5</v>
      </c>
      <c r="I12" s="27"/>
    </row>
    <row r="13" spans="1:9" ht="14.5" x14ac:dyDescent="0.35">
      <c r="A13" s="3" t="s">
        <v>28</v>
      </c>
      <c r="B13" s="3" t="s">
        <v>9</v>
      </c>
      <c r="C13" s="3">
        <v>30</v>
      </c>
      <c r="D13" s="3" t="s">
        <v>10</v>
      </c>
      <c r="E13" s="3">
        <v>5</v>
      </c>
      <c r="F13" s="3">
        <v>11.5</v>
      </c>
      <c r="G13" s="7">
        <v>2012</v>
      </c>
      <c r="H13" s="3">
        <f t="shared" si="0"/>
        <v>5</v>
      </c>
      <c r="I13" s="27"/>
    </row>
    <row r="14" spans="1:9" ht="14.5" x14ac:dyDescent="0.35">
      <c r="A14" s="3" t="s">
        <v>29</v>
      </c>
      <c r="B14" s="3" t="s">
        <v>9</v>
      </c>
      <c r="C14" s="3">
        <v>32</v>
      </c>
      <c r="D14" s="3" t="s">
        <v>10</v>
      </c>
      <c r="E14" s="3">
        <v>4</v>
      </c>
      <c r="F14" s="3">
        <v>12</v>
      </c>
      <c r="G14" s="3">
        <v>2010</v>
      </c>
      <c r="H14" s="3">
        <f t="shared" si="0"/>
        <v>7</v>
      </c>
      <c r="I14" s="27"/>
    </row>
    <row r="15" spans="1:9" ht="14.5" x14ac:dyDescent="0.35">
      <c r="A15" s="3" t="s">
        <v>30</v>
      </c>
      <c r="B15" s="3" t="s">
        <v>22</v>
      </c>
      <c r="C15" s="3">
        <v>39</v>
      </c>
      <c r="D15" s="3" t="s">
        <v>10</v>
      </c>
      <c r="E15" s="3">
        <v>5</v>
      </c>
      <c r="F15" s="3">
        <v>16</v>
      </c>
      <c r="G15" s="3">
        <v>1998</v>
      </c>
      <c r="H15" s="3">
        <f t="shared" si="0"/>
        <v>19</v>
      </c>
      <c r="I15" s="27"/>
    </row>
    <row r="16" spans="1:9" ht="14.5" x14ac:dyDescent="0.35">
      <c r="A16" s="3" t="s">
        <v>31</v>
      </c>
      <c r="B16" s="3" t="s">
        <v>12</v>
      </c>
      <c r="C16" s="3">
        <v>20</v>
      </c>
      <c r="D16" s="3" t="s">
        <v>10</v>
      </c>
      <c r="E16" s="3">
        <v>4</v>
      </c>
      <c r="F16" s="3">
        <v>12</v>
      </c>
      <c r="G16" s="3">
        <v>2016</v>
      </c>
      <c r="H16" s="3">
        <f t="shared" si="0"/>
        <v>1</v>
      </c>
      <c r="I16" s="27"/>
    </row>
    <row r="17" spans="1:9" ht="14.5" x14ac:dyDescent="0.35">
      <c r="A17" s="3" t="s">
        <v>32</v>
      </c>
      <c r="B17" s="3" t="s">
        <v>18</v>
      </c>
      <c r="C17" s="3">
        <v>32</v>
      </c>
      <c r="D17" s="3" t="s">
        <v>10</v>
      </c>
      <c r="E17" s="3">
        <v>6</v>
      </c>
      <c r="F17" s="3">
        <v>18</v>
      </c>
      <c r="G17" s="3">
        <v>2014</v>
      </c>
      <c r="H17" s="3">
        <f t="shared" si="0"/>
        <v>3</v>
      </c>
      <c r="I17" s="27"/>
    </row>
    <row r="18" spans="1:9" ht="14.5" x14ac:dyDescent="0.35">
      <c r="A18" s="3" t="s">
        <v>33</v>
      </c>
      <c r="B18" s="3" t="s">
        <v>9</v>
      </c>
      <c r="C18" s="3">
        <v>52</v>
      </c>
      <c r="D18" s="3" t="s">
        <v>14</v>
      </c>
      <c r="E18" s="3">
        <v>6</v>
      </c>
      <c r="F18" s="3">
        <v>16</v>
      </c>
      <c r="G18" s="3">
        <v>1990</v>
      </c>
      <c r="H18" s="3">
        <f t="shared" si="0"/>
        <v>27</v>
      </c>
      <c r="I18" s="27"/>
    </row>
    <row r="19" spans="1:9" ht="14.5" x14ac:dyDescent="0.35">
      <c r="A19" s="3" t="s">
        <v>34</v>
      </c>
      <c r="B19" s="3" t="s">
        <v>12</v>
      </c>
      <c r="C19" s="3">
        <v>29</v>
      </c>
      <c r="D19" s="3" t="s">
        <v>10</v>
      </c>
      <c r="E19" s="3">
        <v>5</v>
      </c>
      <c r="F19" s="3">
        <v>14</v>
      </c>
      <c r="G19" s="3">
        <v>2004</v>
      </c>
      <c r="H19" s="3">
        <f t="shared" si="0"/>
        <v>13</v>
      </c>
      <c r="I19" s="27"/>
    </row>
    <row r="20" spans="1:9" ht="14.5" x14ac:dyDescent="0.35">
      <c r="A20" s="3" t="s">
        <v>35</v>
      </c>
      <c r="B20" s="3" t="s">
        <v>12</v>
      </c>
      <c r="C20" s="3">
        <v>33</v>
      </c>
      <c r="D20" s="3" t="s">
        <v>14</v>
      </c>
      <c r="E20" s="3">
        <v>4</v>
      </c>
      <c r="F20" s="3">
        <v>12</v>
      </c>
      <c r="G20" s="3">
        <v>2016</v>
      </c>
      <c r="H20" s="3">
        <f t="shared" si="0"/>
        <v>1</v>
      </c>
      <c r="I20" s="27"/>
    </row>
    <row r="21" spans="1:9" ht="14.5" x14ac:dyDescent="0.35">
      <c r="A21" s="3" t="s">
        <v>36</v>
      </c>
      <c r="B21" s="3" t="s">
        <v>9</v>
      </c>
      <c r="C21" s="3">
        <v>38</v>
      </c>
      <c r="D21" s="3" t="s">
        <v>14</v>
      </c>
      <c r="E21" s="3">
        <v>4</v>
      </c>
      <c r="F21" s="3">
        <v>16</v>
      </c>
      <c r="G21" s="3">
        <v>2013</v>
      </c>
      <c r="H21" s="3">
        <f t="shared" si="0"/>
        <v>4</v>
      </c>
      <c r="I21" s="27"/>
    </row>
    <row r="22" spans="1:9" ht="14.5" x14ac:dyDescent="0.35">
      <c r="A22" s="3" t="s">
        <v>37</v>
      </c>
      <c r="B22" s="3" t="s">
        <v>22</v>
      </c>
      <c r="C22" s="3">
        <v>27</v>
      </c>
      <c r="D22" s="3" t="s">
        <v>10</v>
      </c>
      <c r="E22" s="3">
        <v>6</v>
      </c>
      <c r="F22" s="3">
        <v>17</v>
      </c>
      <c r="G22" s="3">
        <v>2007</v>
      </c>
      <c r="H22" s="3">
        <f t="shared" si="0"/>
        <v>10</v>
      </c>
      <c r="I22" s="27"/>
    </row>
    <row r="23" spans="1:9" ht="14.5" x14ac:dyDescent="0.35">
      <c r="A23" s="7" t="s">
        <v>38</v>
      </c>
      <c r="B23" s="3" t="s">
        <v>12</v>
      </c>
      <c r="C23" s="7">
        <v>47</v>
      </c>
      <c r="D23" s="7" t="s">
        <v>14</v>
      </c>
      <c r="E23" s="7">
        <v>4</v>
      </c>
      <c r="F23" s="3">
        <v>18</v>
      </c>
      <c r="G23" s="3">
        <v>1993</v>
      </c>
      <c r="H23" s="3">
        <f t="shared" si="0"/>
        <v>24</v>
      </c>
      <c r="I23" s="27"/>
    </row>
    <row r="24" spans="1:9" ht="14.5" x14ac:dyDescent="0.35">
      <c r="A24" s="7" t="s">
        <v>39</v>
      </c>
      <c r="B24" s="3" t="s">
        <v>40</v>
      </c>
      <c r="C24" s="7">
        <v>30</v>
      </c>
      <c r="D24" s="7" t="s">
        <v>14</v>
      </c>
      <c r="E24" s="7">
        <v>6</v>
      </c>
      <c r="F24" s="3">
        <v>18</v>
      </c>
      <c r="G24" s="3">
        <v>2016</v>
      </c>
      <c r="H24" s="3">
        <f t="shared" si="0"/>
        <v>1</v>
      </c>
      <c r="I24" s="27"/>
    </row>
    <row r="25" spans="1:9" ht="14.5" x14ac:dyDescent="0.35">
      <c r="A25" s="7" t="s">
        <v>41</v>
      </c>
      <c r="B25" s="3" t="s">
        <v>18</v>
      </c>
      <c r="C25" s="7">
        <v>32</v>
      </c>
      <c r="D25" s="7" t="s">
        <v>10</v>
      </c>
      <c r="E25" s="7">
        <v>6</v>
      </c>
      <c r="F25" s="3">
        <v>18</v>
      </c>
      <c r="G25" s="3">
        <v>2016</v>
      </c>
      <c r="H25" s="3">
        <f t="shared" si="0"/>
        <v>1</v>
      </c>
      <c r="I25" s="27"/>
    </row>
    <row r="26" spans="1:9" ht="14.5" x14ac:dyDescent="0.35">
      <c r="A26" s="7" t="s">
        <v>42</v>
      </c>
      <c r="B26" s="3" t="s">
        <v>22</v>
      </c>
      <c r="C26" s="7">
        <v>59</v>
      </c>
      <c r="D26" s="7" t="s">
        <v>10</v>
      </c>
      <c r="E26" s="7">
        <v>4</v>
      </c>
      <c r="F26" s="3">
        <v>12</v>
      </c>
      <c r="G26" s="3">
        <v>2017</v>
      </c>
      <c r="H26" s="3">
        <f t="shared" si="0"/>
        <v>0</v>
      </c>
      <c r="I26" s="27"/>
    </row>
    <row r="27" spans="1:9" ht="14.5" x14ac:dyDescent="0.35">
      <c r="A27" s="7" t="s">
        <v>43</v>
      </c>
      <c r="B27" s="3" t="s">
        <v>12</v>
      </c>
      <c r="C27" s="7">
        <v>18</v>
      </c>
      <c r="D27" s="7" t="s">
        <v>14</v>
      </c>
      <c r="E27" s="7">
        <v>2</v>
      </c>
      <c r="F27" s="3">
        <v>10</v>
      </c>
      <c r="G27" s="3">
        <v>2017</v>
      </c>
      <c r="H27" s="3">
        <f t="shared" si="0"/>
        <v>0</v>
      </c>
      <c r="I27" s="27"/>
    </row>
    <row r="28" spans="1:9" ht="14.5" x14ac:dyDescent="0.35">
      <c r="A28" s="7" t="s">
        <v>44</v>
      </c>
      <c r="B28" s="3" t="s">
        <v>12</v>
      </c>
      <c r="C28" s="7">
        <v>30</v>
      </c>
      <c r="D28" s="7" t="s">
        <v>14</v>
      </c>
      <c r="E28" s="7">
        <v>6</v>
      </c>
      <c r="F28" s="3">
        <v>18</v>
      </c>
      <c r="G28" s="3">
        <v>2014</v>
      </c>
      <c r="H28" s="3">
        <f t="shared" si="0"/>
        <v>3</v>
      </c>
      <c r="I28" s="27"/>
    </row>
    <row r="29" spans="1:9" ht="14.5" x14ac:dyDescent="0.35">
      <c r="A29" s="7" t="s">
        <v>45</v>
      </c>
      <c r="B29" s="3" t="s">
        <v>9</v>
      </c>
      <c r="C29" s="7">
        <v>38</v>
      </c>
      <c r="D29" s="7" t="s">
        <v>10</v>
      </c>
      <c r="E29" s="7">
        <v>4</v>
      </c>
      <c r="F29" s="3">
        <v>16</v>
      </c>
      <c r="G29" s="3">
        <v>2006</v>
      </c>
      <c r="H29" s="3">
        <f t="shared" si="0"/>
        <v>11</v>
      </c>
      <c r="I29" s="27"/>
    </row>
    <row r="30" spans="1:9" ht="14.5" x14ac:dyDescent="0.35">
      <c r="A30" s="7" t="s">
        <v>46</v>
      </c>
      <c r="B30" s="3" t="s">
        <v>12</v>
      </c>
      <c r="C30" s="7">
        <v>29</v>
      </c>
      <c r="D30" s="7" t="s">
        <v>10</v>
      </c>
      <c r="E30" s="7">
        <v>5</v>
      </c>
      <c r="F30" s="3">
        <v>14</v>
      </c>
      <c r="G30" s="3">
        <v>2015</v>
      </c>
      <c r="H30" s="3">
        <f t="shared" si="0"/>
        <v>2</v>
      </c>
      <c r="I30" s="27"/>
    </row>
    <row r="31" spans="1:9" ht="14.5" x14ac:dyDescent="0.35">
      <c r="A31" s="7" t="s">
        <v>48</v>
      </c>
      <c r="B31" s="3" t="s">
        <v>12</v>
      </c>
      <c r="C31" s="7">
        <v>20</v>
      </c>
      <c r="D31" s="7" t="s">
        <v>10</v>
      </c>
      <c r="E31" s="7">
        <v>1</v>
      </c>
      <c r="F31" s="3">
        <v>8</v>
      </c>
      <c r="G31" s="3">
        <v>2016</v>
      </c>
      <c r="H31" s="3">
        <f t="shared" si="0"/>
        <v>1</v>
      </c>
      <c r="I31" s="27"/>
    </row>
    <row r="32" spans="1:9" ht="14.5" x14ac:dyDescent="0.35">
      <c r="A32" s="7" t="s">
        <v>49</v>
      </c>
      <c r="B32" s="3" t="s">
        <v>50</v>
      </c>
      <c r="C32" s="7">
        <v>24</v>
      </c>
      <c r="D32" s="7" t="s">
        <v>10</v>
      </c>
      <c r="E32" s="7">
        <v>5</v>
      </c>
      <c r="F32" s="3">
        <v>16</v>
      </c>
      <c r="G32" s="3">
        <v>2015</v>
      </c>
      <c r="H32" s="3">
        <f t="shared" si="0"/>
        <v>2</v>
      </c>
      <c r="I32" s="27"/>
    </row>
    <row r="33" spans="1:9" ht="14.5" x14ac:dyDescent="0.35">
      <c r="A33" s="3" t="s">
        <v>51</v>
      </c>
      <c r="B33" s="3" t="s">
        <v>50</v>
      </c>
      <c r="C33" s="3">
        <v>28</v>
      </c>
      <c r="D33" s="3" t="s">
        <v>10</v>
      </c>
      <c r="E33" s="6" t="s">
        <v>52</v>
      </c>
      <c r="F33" s="3">
        <v>10</v>
      </c>
      <c r="G33" s="3">
        <v>2017</v>
      </c>
      <c r="H33" s="3">
        <f t="shared" si="0"/>
        <v>0</v>
      </c>
      <c r="I33" s="27"/>
    </row>
    <row r="34" spans="1:9" ht="14.5" x14ac:dyDescent="0.35">
      <c r="A34" s="3" t="s">
        <v>53</v>
      </c>
      <c r="B34" s="3" t="s">
        <v>9</v>
      </c>
      <c r="C34" s="3">
        <v>65</v>
      </c>
      <c r="D34" s="3" t="s">
        <v>14</v>
      </c>
      <c r="E34" s="3">
        <v>4</v>
      </c>
      <c r="F34" s="3">
        <v>12</v>
      </c>
      <c r="G34" s="3">
        <v>1989</v>
      </c>
      <c r="H34" s="3">
        <f t="shared" si="0"/>
        <v>28</v>
      </c>
      <c r="I34" s="27"/>
    </row>
    <row r="35" spans="1:9" ht="14.5" x14ac:dyDescent="0.35">
      <c r="A35" s="3" t="s">
        <v>55</v>
      </c>
      <c r="B35" s="3" t="s">
        <v>12</v>
      </c>
      <c r="C35" s="3">
        <v>26</v>
      </c>
      <c r="D35" s="3" t="s">
        <v>10</v>
      </c>
      <c r="E35" s="3">
        <v>4</v>
      </c>
      <c r="F35" s="3">
        <v>17</v>
      </c>
      <c r="G35" s="3">
        <v>2017</v>
      </c>
      <c r="H35" s="3">
        <f t="shared" si="0"/>
        <v>0</v>
      </c>
      <c r="I35" s="27"/>
    </row>
    <row r="36" spans="1:9" ht="14.5" x14ac:dyDescent="0.35">
      <c r="A36" s="3" t="s">
        <v>56</v>
      </c>
      <c r="B36" s="3" t="s">
        <v>9</v>
      </c>
      <c r="C36" s="3">
        <v>35</v>
      </c>
      <c r="D36" s="3" t="s">
        <v>14</v>
      </c>
      <c r="E36" s="3">
        <v>5</v>
      </c>
      <c r="F36" s="3">
        <v>10</v>
      </c>
      <c r="G36" s="4">
        <v>2002</v>
      </c>
      <c r="H36" s="4">
        <f t="shared" si="0"/>
        <v>15</v>
      </c>
      <c r="I36" s="27"/>
    </row>
    <row r="37" spans="1:9" ht="14.5" x14ac:dyDescent="0.35">
      <c r="A37" s="3" t="s">
        <v>57</v>
      </c>
      <c r="B37" s="3" t="s">
        <v>12</v>
      </c>
      <c r="C37" s="3">
        <v>32</v>
      </c>
      <c r="D37" s="3" t="s">
        <v>14</v>
      </c>
      <c r="E37" s="3">
        <v>5</v>
      </c>
      <c r="F37" s="3">
        <v>18</v>
      </c>
      <c r="G37" s="4">
        <v>2017</v>
      </c>
      <c r="H37" s="4">
        <f t="shared" si="0"/>
        <v>0</v>
      </c>
      <c r="I37" s="27"/>
    </row>
    <row r="38" spans="1:9" ht="14.5" x14ac:dyDescent="0.35">
      <c r="A38" s="3" t="s">
        <v>58</v>
      </c>
      <c r="B38" s="3" t="s">
        <v>12</v>
      </c>
      <c r="C38" s="3">
        <v>19</v>
      </c>
      <c r="D38" s="3" t="s">
        <v>14</v>
      </c>
      <c r="E38" s="3">
        <v>3</v>
      </c>
      <c r="F38" s="3">
        <v>11</v>
      </c>
      <c r="G38" s="4">
        <v>2017</v>
      </c>
      <c r="H38" s="4">
        <f t="shared" si="0"/>
        <v>0</v>
      </c>
      <c r="I38" s="27"/>
    </row>
    <row r="39" spans="1:9" ht="14.5" x14ac:dyDescent="0.35">
      <c r="A39" s="3" t="s">
        <v>59</v>
      </c>
      <c r="B39" s="3" t="s">
        <v>12</v>
      </c>
      <c r="C39" s="3">
        <v>25</v>
      </c>
      <c r="D39" s="3" t="s">
        <v>10</v>
      </c>
      <c r="E39" s="3">
        <v>4</v>
      </c>
      <c r="F39" s="3">
        <v>14</v>
      </c>
      <c r="G39" s="4">
        <v>2014</v>
      </c>
      <c r="H39" s="4">
        <f t="shared" si="0"/>
        <v>3</v>
      </c>
      <c r="I39" s="27"/>
    </row>
    <row r="40" spans="1:9" ht="14.5" x14ac:dyDescent="0.35">
      <c r="A40" s="3" t="s">
        <v>60</v>
      </c>
      <c r="B40" s="3" t="s">
        <v>61</v>
      </c>
      <c r="C40" s="3">
        <v>21</v>
      </c>
      <c r="D40" s="8" t="s">
        <v>10</v>
      </c>
      <c r="E40" s="3">
        <v>2</v>
      </c>
      <c r="F40" s="3">
        <v>9</v>
      </c>
      <c r="G40" s="4">
        <v>2016</v>
      </c>
      <c r="H40" s="4">
        <f t="shared" si="0"/>
        <v>1</v>
      </c>
      <c r="I40" s="27"/>
    </row>
    <row r="41" spans="1:9" ht="14.5" x14ac:dyDescent="0.35">
      <c r="A41" s="3" t="s">
        <v>62</v>
      </c>
      <c r="B41" s="3" t="s">
        <v>12</v>
      </c>
      <c r="C41" s="3">
        <v>21</v>
      </c>
      <c r="D41" s="8" t="s">
        <v>10</v>
      </c>
      <c r="E41" s="3">
        <v>4</v>
      </c>
      <c r="F41" s="3">
        <v>13</v>
      </c>
      <c r="G41" s="4">
        <v>2016</v>
      </c>
      <c r="H41" s="4">
        <f t="shared" si="0"/>
        <v>1</v>
      </c>
      <c r="I41" s="27"/>
    </row>
    <row r="42" spans="1:9" ht="14.5" x14ac:dyDescent="0.35">
      <c r="A42" s="3" t="s">
        <v>63</v>
      </c>
      <c r="B42" s="3" t="s">
        <v>9</v>
      </c>
      <c r="C42" s="3">
        <v>28</v>
      </c>
      <c r="D42" s="8" t="s">
        <v>10</v>
      </c>
      <c r="E42" s="3">
        <v>4</v>
      </c>
      <c r="F42" s="3">
        <v>14</v>
      </c>
      <c r="G42" s="4">
        <v>2015</v>
      </c>
      <c r="H42" s="4">
        <f t="shared" si="0"/>
        <v>2</v>
      </c>
      <c r="I42" s="27"/>
    </row>
    <row r="43" spans="1:9" ht="14.5" x14ac:dyDescent="0.35">
      <c r="A43" s="3" t="s">
        <v>65</v>
      </c>
      <c r="B43" s="3"/>
      <c r="C43" s="3">
        <v>57</v>
      </c>
      <c r="D43" s="3" t="s">
        <v>14</v>
      </c>
      <c r="E43" s="3">
        <v>6</v>
      </c>
      <c r="F43" s="3">
        <v>16</v>
      </c>
      <c r="G43" s="4">
        <v>2018</v>
      </c>
      <c r="H43" s="4">
        <v>0</v>
      </c>
      <c r="I43" s="27"/>
    </row>
    <row r="44" spans="1:9" ht="14.5" x14ac:dyDescent="0.35">
      <c r="A44" s="3" t="s">
        <v>66</v>
      </c>
      <c r="B44" s="3" t="s">
        <v>12</v>
      </c>
      <c r="C44" s="3">
        <v>23</v>
      </c>
      <c r="D44" s="3" t="s">
        <v>10</v>
      </c>
      <c r="E44" s="3">
        <v>4</v>
      </c>
      <c r="F44" s="3">
        <v>14</v>
      </c>
      <c r="G44" s="4">
        <v>2018</v>
      </c>
      <c r="H44" s="4">
        <v>0</v>
      </c>
      <c r="I44" s="27"/>
    </row>
    <row r="45" spans="1:9" ht="14.5" x14ac:dyDescent="0.35">
      <c r="A45" s="3" t="s">
        <v>67</v>
      </c>
      <c r="B45" s="3" t="s">
        <v>9</v>
      </c>
      <c r="C45" s="3">
        <v>36</v>
      </c>
      <c r="D45" s="3" t="s">
        <v>10</v>
      </c>
      <c r="E45" s="3">
        <v>6</v>
      </c>
      <c r="F45" s="3">
        <v>16</v>
      </c>
      <c r="G45" s="3">
        <v>2013</v>
      </c>
      <c r="H45" s="3">
        <v>5</v>
      </c>
      <c r="I45" s="27"/>
    </row>
    <row r="46" spans="1:9" ht="14.5" x14ac:dyDescent="0.35">
      <c r="A46" s="3" t="s">
        <v>68</v>
      </c>
      <c r="B46" s="3"/>
      <c r="C46" s="3">
        <v>27</v>
      </c>
      <c r="D46" s="3" t="s">
        <v>10</v>
      </c>
      <c r="E46" s="3">
        <v>6</v>
      </c>
      <c r="F46" s="3">
        <v>16</v>
      </c>
      <c r="G46" s="3">
        <v>2018</v>
      </c>
      <c r="H46" s="3">
        <v>0</v>
      </c>
      <c r="I46" s="27"/>
    </row>
    <row r="47" spans="1:9" ht="14.5" x14ac:dyDescent="0.35">
      <c r="A47" s="3" t="s">
        <v>69</v>
      </c>
      <c r="B47" s="3" t="s">
        <v>22</v>
      </c>
      <c r="C47" s="3">
        <v>25</v>
      </c>
      <c r="D47" s="3" t="s">
        <v>10</v>
      </c>
      <c r="E47" s="3">
        <v>6</v>
      </c>
      <c r="F47" s="3"/>
      <c r="G47" s="3">
        <v>2018</v>
      </c>
      <c r="H47" s="3">
        <v>0</v>
      </c>
      <c r="I47" s="27"/>
    </row>
    <row r="48" spans="1:9" ht="14.5" x14ac:dyDescent="0.35">
      <c r="A48" s="3" t="s">
        <v>70</v>
      </c>
      <c r="B48" s="3"/>
      <c r="C48" s="3">
        <v>30</v>
      </c>
      <c r="D48" s="3" t="s">
        <v>10</v>
      </c>
      <c r="E48" s="3">
        <v>6</v>
      </c>
      <c r="F48" s="3">
        <v>17</v>
      </c>
      <c r="G48" s="3">
        <v>2013</v>
      </c>
      <c r="H48" s="3">
        <v>5</v>
      </c>
      <c r="I48" s="27"/>
    </row>
    <row r="49" spans="1:9" ht="14.5" x14ac:dyDescent="0.35">
      <c r="A49" s="3" t="s">
        <v>71</v>
      </c>
      <c r="B49" s="3" t="s">
        <v>50</v>
      </c>
      <c r="C49" s="3">
        <v>49</v>
      </c>
      <c r="D49" s="3" t="s">
        <v>14</v>
      </c>
      <c r="E49" s="3">
        <v>6</v>
      </c>
      <c r="F49" s="3">
        <v>18</v>
      </c>
      <c r="G49" s="3">
        <v>1991</v>
      </c>
      <c r="H49" s="3">
        <v>27</v>
      </c>
      <c r="I49" s="27"/>
    </row>
    <row r="50" spans="1:9" ht="14.5" x14ac:dyDescent="0.35">
      <c r="A50" s="3" t="s">
        <v>72</v>
      </c>
      <c r="B50" s="3" t="s">
        <v>22</v>
      </c>
      <c r="C50" s="3">
        <v>47</v>
      </c>
      <c r="D50" s="3" t="s">
        <v>14</v>
      </c>
      <c r="E50" s="3">
        <v>4</v>
      </c>
      <c r="F50" s="3">
        <v>13</v>
      </c>
      <c r="G50" s="3">
        <v>2000</v>
      </c>
      <c r="H50" s="3">
        <v>18</v>
      </c>
      <c r="I50" s="27"/>
    </row>
    <row r="51" spans="1:9" ht="14.5" x14ac:dyDescent="0.35">
      <c r="A51" s="3" t="s">
        <v>73</v>
      </c>
      <c r="B51" s="3" t="s">
        <v>9</v>
      </c>
      <c r="C51" s="3">
        <v>38</v>
      </c>
      <c r="D51" s="3" t="s">
        <v>10</v>
      </c>
      <c r="E51" s="3">
        <v>6</v>
      </c>
      <c r="F51" s="3">
        <v>18</v>
      </c>
      <c r="G51" s="3">
        <v>2016</v>
      </c>
      <c r="H51" s="3">
        <v>2</v>
      </c>
      <c r="I51" s="27"/>
    </row>
    <row r="52" spans="1:9" ht="14.5" x14ac:dyDescent="0.35">
      <c r="A52" s="2" t="s">
        <v>0</v>
      </c>
      <c r="B52" s="2"/>
      <c r="C52" s="2" t="s">
        <v>2</v>
      </c>
      <c r="D52" s="2" t="s">
        <v>74</v>
      </c>
      <c r="E52" s="2" t="s">
        <v>4</v>
      </c>
      <c r="F52" s="2" t="s">
        <v>5</v>
      </c>
      <c r="G52" s="2"/>
      <c r="H52" s="2"/>
      <c r="I52" s="26"/>
    </row>
    <row r="53" spans="1:9" ht="14.5" x14ac:dyDescent="0.35">
      <c r="A53" s="4" t="s">
        <v>75</v>
      </c>
      <c r="B53" s="4"/>
      <c r="C53" s="4">
        <v>38</v>
      </c>
      <c r="D53" s="4" t="s">
        <v>14</v>
      </c>
      <c r="E53" s="4">
        <v>6</v>
      </c>
      <c r="F53" s="4">
        <v>18</v>
      </c>
      <c r="G53" s="4"/>
      <c r="H53" s="4"/>
      <c r="I53" s="27"/>
    </row>
    <row r="54" spans="1:9" ht="14.5" x14ac:dyDescent="0.35">
      <c r="A54" s="4" t="s">
        <v>76</v>
      </c>
      <c r="B54" s="4"/>
      <c r="C54" s="4">
        <v>28</v>
      </c>
      <c r="D54" s="4" t="s">
        <v>14</v>
      </c>
      <c r="E54" s="4">
        <v>6</v>
      </c>
      <c r="F54" s="4">
        <v>18</v>
      </c>
      <c r="G54" s="4"/>
      <c r="H54" s="4"/>
      <c r="I54" s="27"/>
    </row>
    <row r="55" spans="1:9" ht="14.5" x14ac:dyDescent="0.35">
      <c r="A55" s="4" t="s">
        <v>77</v>
      </c>
      <c r="B55" s="4"/>
      <c r="C55" s="4">
        <v>39</v>
      </c>
      <c r="D55" s="4" t="s">
        <v>14</v>
      </c>
      <c r="E55" s="4">
        <v>6</v>
      </c>
      <c r="F55" s="4">
        <v>18</v>
      </c>
      <c r="G55" s="4"/>
      <c r="H55" s="4"/>
      <c r="I55" s="27"/>
    </row>
    <row r="56" spans="1:9" ht="14.5" x14ac:dyDescent="0.35">
      <c r="A56" s="4" t="s">
        <v>78</v>
      </c>
      <c r="B56" s="4"/>
      <c r="C56" s="4">
        <v>29</v>
      </c>
      <c r="D56" s="4" t="s">
        <v>10</v>
      </c>
      <c r="E56" s="4">
        <v>6</v>
      </c>
      <c r="F56" s="4">
        <v>18</v>
      </c>
      <c r="G56" s="4"/>
      <c r="H56" s="4"/>
      <c r="I56" s="27"/>
    </row>
    <row r="57" spans="1:9" ht="14.5" x14ac:dyDescent="0.35">
      <c r="A57" s="4" t="s">
        <v>79</v>
      </c>
      <c r="B57" s="4"/>
      <c r="C57" s="4">
        <v>28</v>
      </c>
      <c r="D57" s="4" t="s">
        <v>10</v>
      </c>
      <c r="E57" s="4">
        <v>4</v>
      </c>
      <c r="F57" s="4">
        <v>16</v>
      </c>
      <c r="G57" s="4"/>
      <c r="H57" s="4"/>
      <c r="I57" s="27"/>
    </row>
    <row r="58" spans="1:9" ht="14.5" x14ac:dyDescent="0.35">
      <c r="A58" s="4" t="s">
        <v>80</v>
      </c>
      <c r="B58" s="4"/>
      <c r="C58" s="4">
        <v>42</v>
      </c>
      <c r="D58" s="4" t="s">
        <v>10</v>
      </c>
      <c r="E58" s="4">
        <v>4</v>
      </c>
      <c r="F58" s="4">
        <v>14</v>
      </c>
      <c r="G58" s="4"/>
      <c r="H58" s="4"/>
      <c r="I58" s="27"/>
    </row>
    <row r="59" spans="1:9" ht="14.5" x14ac:dyDescent="0.35">
      <c r="A59" s="4" t="s">
        <v>81</v>
      </c>
      <c r="B59" s="4"/>
      <c r="C59" s="4">
        <v>52</v>
      </c>
      <c r="D59" s="4" t="s">
        <v>10</v>
      </c>
      <c r="E59" s="4">
        <v>5</v>
      </c>
      <c r="F59" s="4">
        <v>17</v>
      </c>
      <c r="G59" s="4"/>
      <c r="H59" s="4"/>
      <c r="I59" s="27"/>
    </row>
    <row r="60" spans="1:9" ht="14.5" x14ac:dyDescent="0.35">
      <c r="A60" s="4" t="s">
        <v>82</v>
      </c>
      <c r="B60" s="4"/>
      <c r="C60" s="4">
        <v>40</v>
      </c>
      <c r="D60" s="4" t="s">
        <v>10</v>
      </c>
      <c r="E60" s="4">
        <v>6</v>
      </c>
      <c r="F60" s="4">
        <v>18</v>
      </c>
      <c r="G60" s="4"/>
      <c r="H60" s="4"/>
      <c r="I60" s="27"/>
    </row>
    <row r="61" spans="1:9" ht="14.5" x14ac:dyDescent="0.35">
      <c r="A61" s="4" t="s">
        <v>83</v>
      </c>
      <c r="B61" s="4"/>
      <c r="C61" s="4">
        <v>23</v>
      </c>
      <c r="D61" s="4" t="s">
        <v>10</v>
      </c>
      <c r="E61" s="4">
        <v>4</v>
      </c>
      <c r="F61" s="4">
        <v>16</v>
      </c>
      <c r="G61" s="4"/>
      <c r="H61" s="4"/>
      <c r="I61" s="27"/>
    </row>
    <row r="62" spans="1:9" ht="14.5" x14ac:dyDescent="0.35">
      <c r="A62" s="4" t="s">
        <v>84</v>
      </c>
      <c r="B62" s="4"/>
      <c r="C62" s="4">
        <v>33</v>
      </c>
      <c r="D62" s="4" t="s">
        <v>10</v>
      </c>
      <c r="E62" s="4">
        <v>6</v>
      </c>
      <c r="F62" s="4">
        <v>18</v>
      </c>
      <c r="G62" s="4"/>
      <c r="H62" s="4"/>
      <c r="I62" s="27"/>
    </row>
    <row r="63" spans="1:9" ht="14.5" x14ac:dyDescent="0.35">
      <c r="A63" s="4" t="s">
        <v>85</v>
      </c>
      <c r="B63" s="4"/>
      <c r="C63" s="4">
        <v>33</v>
      </c>
      <c r="D63" s="4" t="s">
        <v>10</v>
      </c>
      <c r="E63" s="4">
        <v>5</v>
      </c>
      <c r="F63" s="4">
        <v>14</v>
      </c>
      <c r="G63" s="4"/>
      <c r="H63" s="4"/>
      <c r="I63" s="27"/>
    </row>
    <row r="64" spans="1:9" ht="14.5" x14ac:dyDescent="0.35">
      <c r="A64" s="4" t="s">
        <v>86</v>
      </c>
      <c r="B64" s="4"/>
      <c r="C64" s="4">
        <v>42</v>
      </c>
      <c r="D64" s="4" t="s">
        <v>10</v>
      </c>
      <c r="E64" s="4">
        <v>5</v>
      </c>
      <c r="F64" s="4">
        <v>13</v>
      </c>
      <c r="G64" s="4"/>
      <c r="H64" s="4"/>
      <c r="I64" s="27"/>
    </row>
    <row r="65" spans="1:9" ht="14.5" x14ac:dyDescent="0.35">
      <c r="A65" s="4" t="s">
        <v>87</v>
      </c>
      <c r="B65" s="4"/>
      <c r="C65" s="4">
        <v>50</v>
      </c>
      <c r="D65" s="4" t="s">
        <v>14</v>
      </c>
      <c r="E65" s="4">
        <v>6</v>
      </c>
      <c r="F65" s="4">
        <v>18</v>
      </c>
      <c r="G65" s="4"/>
      <c r="H65" s="4"/>
      <c r="I65" s="27"/>
    </row>
    <row r="66" spans="1:9" ht="14.5" x14ac:dyDescent="0.35">
      <c r="A66" s="4" t="s">
        <v>88</v>
      </c>
      <c r="B66" s="4"/>
      <c r="C66" s="4">
        <v>34</v>
      </c>
      <c r="D66" s="4" t="s">
        <v>10</v>
      </c>
      <c r="E66" s="4">
        <v>5</v>
      </c>
      <c r="F66" s="4">
        <v>18</v>
      </c>
      <c r="G66" s="4"/>
      <c r="H66" s="4"/>
      <c r="I66" s="27"/>
    </row>
    <row r="67" spans="1:9" ht="14.5" x14ac:dyDescent="0.35">
      <c r="A67" s="4" t="s">
        <v>89</v>
      </c>
      <c r="B67" s="4"/>
      <c r="C67" s="4">
        <v>39</v>
      </c>
      <c r="D67" s="4" t="s">
        <v>14</v>
      </c>
      <c r="E67" s="4">
        <v>4</v>
      </c>
      <c r="F67" s="4">
        <v>12</v>
      </c>
      <c r="G67" s="4"/>
      <c r="H67" s="4"/>
      <c r="I67" s="27"/>
    </row>
    <row r="68" spans="1:9" ht="14.5" x14ac:dyDescent="0.35">
      <c r="A68" s="4" t="s">
        <v>90</v>
      </c>
      <c r="B68" s="4"/>
      <c r="C68" s="4">
        <v>29</v>
      </c>
      <c r="D68" s="4" t="s">
        <v>10</v>
      </c>
      <c r="E68" s="4">
        <v>6</v>
      </c>
      <c r="F68" s="4">
        <v>18</v>
      </c>
      <c r="G68" s="4"/>
      <c r="H68" s="4"/>
      <c r="I68" s="27"/>
    </row>
    <row r="69" spans="1:9" ht="14.5" x14ac:dyDescent="0.35">
      <c r="A69" s="4" t="s">
        <v>91</v>
      </c>
      <c r="B69" s="4"/>
      <c r="C69" s="4">
        <v>30</v>
      </c>
      <c r="D69" s="4" t="s">
        <v>14</v>
      </c>
      <c r="E69" s="4">
        <v>6</v>
      </c>
      <c r="F69" s="4">
        <v>18</v>
      </c>
      <c r="G69" s="4"/>
      <c r="H69" s="4"/>
      <c r="I69" s="27"/>
    </row>
    <row r="70" spans="1:9" ht="14.5" x14ac:dyDescent="0.35">
      <c r="A70" s="4" t="s">
        <v>92</v>
      </c>
      <c r="B70" s="4"/>
      <c r="C70" s="4">
        <v>28</v>
      </c>
      <c r="D70" s="4" t="s">
        <v>14</v>
      </c>
      <c r="E70" s="4">
        <v>6</v>
      </c>
      <c r="F70" s="4">
        <v>18</v>
      </c>
      <c r="G70" s="4"/>
      <c r="H70" s="4"/>
      <c r="I70" s="28"/>
    </row>
    <row r="71" spans="1:9" ht="14.5" x14ac:dyDescent="0.35">
      <c r="A71" s="4" t="s">
        <v>93</v>
      </c>
      <c r="B71" s="4"/>
      <c r="C71" s="4">
        <v>42</v>
      </c>
      <c r="D71" s="4" t="s">
        <v>10</v>
      </c>
      <c r="E71" s="9" t="s">
        <v>94</v>
      </c>
      <c r="F71" s="4">
        <v>17</v>
      </c>
      <c r="G71" s="4"/>
      <c r="H71" s="10"/>
      <c r="I71" s="29"/>
    </row>
    <row r="72" spans="1:9" ht="14.5" x14ac:dyDescent="0.35">
      <c r="A72" s="4" t="s">
        <v>95</v>
      </c>
      <c r="B72" s="4"/>
      <c r="C72" s="4">
        <v>56</v>
      </c>
      <c r="D72" s="4" t="s">
        <v>14</v>
      </c>
      <c r="E72" s="4">
        <v>4.5</v>
      </c>
      <c r="F72" s="4">
        <v>17</v>
      </c>
      <c r="G72" s="4"/>
      <c r="H72" s="10"/>
      <c r="I72" s="29"/>
    </row>
    <row r="73" spans="1:9" ht="14.5" x14ac:dyDescent="0.35">
      <c r="A73" s="4" t="s">
        <v>96</v>
      </c>
      <c r="B73" s="4"/>
      <c r="C73" s="4">
        <v>39</v>
      </c>
      <c r="D73" s="4" t="s">
        <v>10</v>
      </c>
      <c r="E73" s="4">
        <v>4.5</v>
      </c>
      <c r="F73" s="4">
        <v>16</v>
      </c>
      <c r="G73" s="4"/>
      <c r="H73" s="10"/>
      <c r="I73" s="29"/>
    </row>
    <row r="74" spans="1:9" ht="14.5" x14ac:dyDescent="0.35">
      <c r="A74" s="10" t="s">
        <v>97</v>
      </c>
      <c r="B74" s="4"/>
      <c r="C74" s="10">
        <v>25</v>
      </c>
      <c r="D74" s="10" t="s">
        <v>14</v>
      </c>
      <c r="E74" s="10">
        <v>5</v>
      </c>
      <c r="F74" s="4">
        <v>16</v>
      </c>
      <c r="G74" s="4"/>
      <c r="H74" s="4"/>
      <c r="I74" s="30"/>
    </row>
    <row r="75" spans="1:9" ht="14.5" x14ac:dyDescent="0.35">
      <c r="A75" s="10" t="s">
        <v>98</v>
      </c>
      <c r="B75" s="4"/>
      <c r="C75" s="10">
        <v>22</v>
      </c>
      <c r="D75" s="10" t="s">
        <v>10</v>
      </c>
      <c r="E75" s="10">
        <v>4</v>
      </c>
      <c r="F75" s="4">
        <v>15</v>
      </c>
      <c r="G75" s="4"/>
      <c r="H75" s="4"/>
      <c r="I75" s="30"/>
    </row>
    <row r="76" spans="1:9" ht="14.5" x14ac:dyDescent="0.35">
      <c r="A76" s="10" t="s">
        <v>99</v>
      </c>
      <c r="B76" s="4"/>
      <c r="C76" s="10">
        <v>32</v>
      </c>
      <c r="D76" s="10" t="s">
        <v>10</v>
      </c>
      <c r="E76" s="10">
        <v>6</v>
      </c>
      <c r="F76" s="4">
        <v>18</v>
      </c>
      <c r="G76" s="4"/>
      <c r="H76" s="4"/>
      <c r="I76" s="30"/>
    </row>
    <row r="77" spans="1:9" ht="14.5" x14ac:dyDescent="0.35">
      <c r="A77" s="10" t="s">
        <v>100</v>
      </c>
      <c r="B77" s="4"/>
      <c r="C77" s="10">
        <v>51</v>
      </c>
      <c r="D77" s="10" t="s">
        <v>14</v>
      </c>
      <c r="E77" s="10">
        <v>4</v>
      </c>
      <c r="F77" s="4">
        <v>12</v>
      </c>
      <c r="G77" s="4"/>
      <c r="H77" s="4"/>
      <c r="I77" s="30"/>
    </row>
    <row r="78" spans="1:9" ht="14.5" x14ac:dyDescent="0.35">
      <c r="A78" s="10" t="s">
        <v>101</v>
      </c>
      <c r="B78" s="4"/>
      <c r="C78" s="10">
        <v>48</v>
      </c>
      <c r="D78" s="10" t="s">
        <v>14</v>
      </c>
      <c r="E78" s="10">
        <v>4</v>
      </c>
      <c r="F78" s="4">
        <v>12</v>
      </c>
      <c r="G78" s="4"/>
      <c r="H78" s="4"/>
      <c r="I78" s="30"/>
    </row>
    <row r="79" spans="1:9" ht="14.5" x14ac:dyDescent="0.35">
      <c r="A79" s="10" t="s">
        <v>102</v>
      </c>
      <c r="B79" s="4"/>
      <c r="C79" s="10">
        <v>23</v>
      </c>
      <c r="D79" s="10" t="s">
        <v>10</v>
      </c>
      <c r="E79" s="10">
        <v>4</v>
      </c>
      <c r="F79" s="4">
        <v>16</v>
      </c>
      <c r="G79" s="4"/>
      <c r="H79" s="4"/>
      <c r="I79" s="30"/>
    </row>
    <row r="80" spans="1:9" ht="14.5" x14ac:dyDescent="0.35">
      <c r="A80" s="10" t="s">
        <v>103</v>
      </c>
      <c r="B80" s="4"/>
      <c r="C80" s="10">
        <v>24</v>
      </c>
      <c r="D80" s="10" t="s">
        <v>10</v>
      </c>
      <c r="E80" s="10">
        <v>4</v>
      </c>
      <c r="F80" s="4">
        <v>17</v>
      </c>
      <c r="G80" s="4"/>
      <c r="H80" s="4"/>
      <c r="I80" s="30"/>
    </row>
    <row r="81" spans="1:9" ht="14.5" x14ac:dyDescent="0.35">
      <c r="A81" s="10" t="s">
        <v>104</v>
      </c>
      <c r="B81" s="4"/>
      <c r="C81" s="10">
        <v>24</v>
      </c>
      <c r="D81" s="10" t="s">
        <v>10</v>
      </c>
      <c r="E81" s="10">
        <v>4</v>
      </c>
      <c r="F81" s="4">
        <v>17</v>
      </c>
      <c r="G81" s="4"/>
      <c r="H81" s="4"/>
      <c r="I81" s="30"/>
    </row>
    <row r="82" spans="1:9" ht="14.5" x14ac:dyDescent="0.35">
      <c r="A82" s="10" t="s">
        <v>105</v>
      </c>
      <c r="B82" s="4"/>
      <c r="C82" s="10">
        <v>32</v>
      </c>
      <c r="D82" s="10" t="s">
        <v>14</v>
      </c>
      <c r="E82" s="10">
        <v>6</v>
      </c>
      <c r="F82" s="4">
        <v>18</v>
      </c>
      <c r="G82" s="4"/>
      <c r="H82" s="4"/>
      <c r="I82" s="30"/>
    </row>
    <row r="83" spans="1:9" ht="14.5" x14ac:dyDescent="0.35">
      <c r="A83" s="10" t="s">
        <v>106</v>
      </c>
      <c r="B83" s="4"/>
      <c r="C83" s="10">
        <v>18</v>
      </c>
      <c r="D83" s="10" t="s">
        <v>14</v>
      </c>
      <c r="E83" s="10">
        <v>4</v>
      </c>
      <c r="F83" s="4">
        <v>12</v>
      </c>
      <c r="G83" s="4"/>
      <c r="H83" s="4"/>
      <c r="I83" s="30"/>
    </row>
    <row r="84" spans="1:9" ht="14.5" x14ac:dyDescent="0.35">
      <c r="A84" s="10" t="s">
        <v>107</v>
      </c>
      <c r="B84" s="4"/>
      <c r="C84" s="10">
        <v>23</v>
      </c>
      <c r="D84" s="10" t="s">
        <v>10</v>
      </c>
      <c r="E84" s="10">
        <v>4</v>
      </c>
      <c r="F84" s="4" t="s">
        <v>23</v>
      </c>
      <c r="G84" s="4"/>
      <c r="H84" s="4"/>
      <c r="I84" s="30"/>
    </row>
    <row r="85" spans="1:9" ht="14.5" x14ac:dyDescent="0.35">
      <c r="A85" s="10" t="s">
        <v>108</v>
      </c>
      <c r="B85" s="4"/>
      <c r="C85" s="10">
        <v>25</v>
      </c>
      <c r="D85" s="10" t="s">
        <v>10</v>
      </c>
      <c r="E85" s="10">
        <v>4</v>
      </c>
      <c r="F85" s="4">
        <v>18</v>
      </c>
      <c r="G85" s="4"/>
      <c r="H85" s="4"/>
      <c r="I85" s="30"/>
    </row>
    <row r="86" spans="1:9" ht="14.5" x14ac:dyDescent="0.35">
      <c r="A86" s="10" t="s">
        <v>109</v>
      </c>
      <c r="B86" s="4"/>
      <c r="C86" s="10">
        <v>27</v>
      </c>
      <c r="D86" s="10" t="s">
        <v>14</v>
      </c>
      <c r="E86" s="10">
        <v>5</v>
      </c>
      <c r="F86" s="4">
        <v>14</v>
      </c>
      <c r="G86" s="4"/>
      <c r="H86" s="4"/>
      <c r="I86" s="30"/>
    </row>
    <row r="87" spans="1:9" ht="14.5" x14ac:dyDescent="0.35">
      <c r="A87" s="10" t="s">
        <v>110</v>
      </c>
      <c r="B87" s="4"/>
      <c r="C87" s="10">
        <v>26</v>
      </c>
      <c r="D87" s="10" t="s">
        <v>10</v>
      </c>
      <c r="E87" s="10">
        <v>5</v>
      </c>
      <c r="F87" s="4">
        <v>13</v>
      </c>
      <c r="G87" s="4"/>
      <c r="H87" s="4"/>
      <c r="I87" s="30"/>
    </row>
    <row r="88" spans="1:9" ht="14.5" x14ac:dyDescent="0.35">
      <c r="A88" s="10" t="s">
        <v>111</v>
      </c>
      <c r="B88" s="4"/>
      <c r="C88" s="10">
        <v>32</v>
      </c>
      <c r="D88" s="10" t="s">
        <v>14</v>
      </c>
      <c r="E88" s="10">
        <v>4</v>
      </c>
      <c r="F88" s="4">
        <v>17</v>
      </c>
      <c r="G88" s="4"/>
      <c r="H88" s="4"/>
      <c r="I88" s="30"/>
    </row>
    <row r="89" spans="1:9" ht="14.5" x14ac:dyDescent="0.35">
      <c r="A89" s="10" t="s">
        <v>112</v>
      </c>
      <c r="B89" s="4"/>
      <c r="C89" s="10">
        <v>20</v>
      </c>
      <c r="D89" s="10" t="s">
        <v>10</v>
      </c>
      <c r="E89" s="10">
        <v>4</v>
      </c>
      <c r="F89" s="4">
        <v>13</v>
      </c>
      <c r="G89" s="4"/>
      <c r="H89" s="4"/>
      <c r="I89" s="30"/>
    </row>
    <row r="90" spans="1:9" ht="14.5" x14ac:dyDescent="0.35">
      <c r="A90" s="10" t="s">
        <v>113</v>
      </c>
      <c r="B90" s="4"/>
      <c r="C90" s="10">
        <v>23</v>
      </c>
      <c r="D90" s="10" t="s">
        <v>10</v>
      </c>
      <c r="E90" s="10">
        <v>4</v>
      </c>
      <c r="F90" s="4">
        <v>16</v>
      </c>
      <c r="G90" s="4"/>
      <c r="H90" s="4"/>
      <c r="I90" s="30"/>
    </row>
    <row r="91" spans="1:9" ht="14.5" x14ac:dyDescent="0.35">
      <c r="A91" s="10" t="s">
        <v>114</v>
      </c>
      <c r="B91" s="4"/>
      <c r="C91" s="10">
        <v>36</v>
      </c>
      <c r="D91" s="10" t="s">
        <v>10</v>
      </c>
      <c r="E91" s="10">
        <v>3</v>
      </c>
      <c r="F91" s="4">
        <v>12</v>
      </c>
      <c r="G91" s="4"/>
      <c r="H91" s="4"/>
      <c r="I91" s="30"/>
    </row>
    <row r="92" spans="1:9" ht="14.5" x14ac:dyDescent="0.35">
      <c r="A92" s="10" t="s">
        <v>115</v>
      </c>
      <c r="B92" s="4"/>
      <c r="C92" s="10">
        <v>27</v>
      </c>
      <c r="D92" s="10" t="s">
        <v>10</v>
      </c>
      <c r="E92" s="10">
        <v>3</v>
      </c>
      <c r="F92" s="4">
        <v>13</v>
      </c>
      <c r="G92" s="4"/>
      <c r="H92" s="4"/>
      <c r="I92" s="30"/>
    </row>
    <row r="93" spans="1:9" ht="14.5" x14ac:dyDescent="0.35">
      <c r="A93" s="10" t="s">
        <v>116</v>
      </c>
      <c r="B93" s="4"/>
      <c r="C93" s="10">
        <v>33</v>
      </c>
      <c r="D93" s="10" t="s">
        <v>10</v>
      </c>
      <c r="E93" s="10">
        <v>4</v>
      </c>
      <c r="F93" s="4">
        <v>15</v>
      </c>
      <c r="G93" s="4"/>
      <c r="H93" s="4"/>
      <c r="I93" s="30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51"/>
  <sheetViews>
    <sheetView topLeftCell="A34" zoomScaleNormal="100" workbookViewId="0">
      <selection activeCell="B34" sqref="B34"/>
    </sheetView>
  </sheetViews>
  <sheetFormatPr defaultRowHeight="14.5" x14ac:dyDescent="0.35"/>
  <cols>
    <col min="1" max="1" width="10.7265625" style="11" customWidth="1"/>
    <col min="2" max="2" width="13.08984375" style="11" customWidth="1"/>
    <col min="3" max="3" width="16" style="11" customWidth="1"/>
    <col min="4" max="4" width="14.1796875" style="11" customWidth="1"/>
    <col min="5" max="5" width="21.54296875" style="11" customWidth="1"/>
    <col min="6" max="6" width="10.26953125" style="11" customWidth="1"/>
    <col min="7" max="7" width="23.81640625" style="11" customWidth="1"/>
    <col min="8" max="8" width="25.453125" style="11" customWidth="1"/>
    <col min="9" max="9" width="11.54296875" style="11"/>
    <col min="10" max="10" width="15" style="11" customWidth="1"/>
    <col min="11" max="11" width="13.36328125" style="11" customWidth="1"/>
    <col min="12" max="12" width="11.54296875" style="11"/>
    <col min="13" max="13" width="13.26953125" style="11" customWidth="1"/>
    <col min="14" max="14" width="11.54296875" style="11"/>
    <col min="15" max="15" width="9.453125" style="11" customWidth="1"/>
    <col min="16" max="16" width="25.6328125" style="7" customWidth="1"/>
    <col min="17" max="17" width="11.26953125" style="11" customWidth="1"/>
    <col min="18" max="18" width="12.81640625" style="11" customWidth="1"/>
    <col min="19" max="19" width="14.36328125" style="11" customWidth="1"/>
    <col min="20" max="20" width="12.81640625" style="11" customWidth="1"/>
    <col min="21" max="21" width="21.7265625" style="11" customWidth="1"/>
    <col min="22" max="22" width="14.7265625" style="11" customWidth="1"/>
    <col min="23" max="23" width="14.08984375" style="11" customWidth="1"/>
    <col min="24" max="24" width="11.7265625" style="11" customWidth="1"/>
    <col min="25" max="25" width="14.36328125" style="11" customWidth="1"/>
    <col min="26" max="26" width="9.7265625" style="11" customWidth="1"/>
    <col min="27" max="27" width="37.7265625" style="11" customWidth="1"/>
    <col min="28" max="1025" width="11.54296875" style="11"/>
  </cols>
  <sheetData>
    <row r="1" spans="1:27" x14ac:dyDescent="0.35">
      <c r="A1" s="12" t="s">
        <v>0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H1" s="12" t="s">
        <v>123</v>
      </c>
      <c r="I1" s="12" t="s">
        <v>64</v>
      </c>
      <c r="J1" s="12" t="s">
        <v>124</v>
      </c>
      <c r="K1" s="12" t="s">
        <v>125</v>
      </c>
      <c r="L1" s="12" t="s">
        <v>54</v>
      </c>
      <c r="M1" s="12" t="s">
        <v>126</v>
      </c>
      <c r="N1" s="12" t="s">
        <v>47</v>
      </c>
      <c r="O1" s="12" t="s">
        <v>127</v>
      </c>
      <c r="P1" s="13" t="s">
        <v>128</v>
      </c>
      <c r="Q1" s="12" t="s">
        <v>129</v>
      </c>
      <c r="R1" s="12" t="s">
        <v>130</v>
      </c>
      <c r="S1" s="12" t="s">
        <v>131</v>
      </c>
      <c r="T1" s="12" t="s">
        <v>132</v>
      </c>
      <c r="U1" s="12" t="s">
        <v>133</v>
      </c>
      <c r="V1" s="12" t="s">
        <v>134</v>
      </c>
      <c r="W1" s="12" t="s">
        <v>135</v>
      </c>
      <c r="X1" s="12" t="s">
        <v>136</v>
      </c>
      <c r="Y1" s="12" t="s">
        <v>137</v>
      </c>
      <c r="Z1" s="12" t="s">
        <v>138</v>
      </c>
      <c r="AA1" s="14" t="s">
        <v>139</v>
      </c>
    </row>
    <row r="2" spans="1:27" x14ac:dyDescent="0.35">
      <c r="A2" s="3" t="s">
        <v>8</v>
      </c>
      <c r="B2" s="3"/>
      <c r="C2" s="3"/>
      <c r="D2" s="3">
        <v>6</v>
      </c>
      <c r="E2" s="3"/>
      <c r="F2" s="3">
        <v>150</v>
      </c>
      <c r="G2" s="3"/>
      <c r="H2" s="3"/>
      <c r="I2" s="3"/>
      <c r="J2" s="3"/>
      <c r="K2" s="3"/>
      <c r="L2" s="3"/>
      <c r="M2" s="3"/>
      <c r="N2" s="3"/>
      <c r="O2" s="3"/>
      <c r="P2" s="7">
        <f t="shared" ref="P2:P32" si="0">B2*0.8+C2*0.8+D2*100+(E2/50)*20*30+(F2/100)*20*30+(G2/40)*20*30+(H2/200)*20*30+I2*1.5+J2*60+K2*30+L2*0.86+M2*20+N2*20+O2*3.75</f>
        <v>1500</v>
      </c>
      <c r="Q2" s="3"/>
      <c r="R2" s="3">
        <v>900</v>
      </c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3" t="s">
        <v>11</v>
      </c>
      <c r="B3" s="3"/>
      <c r="C3" s="3">
        <v>800</v>
      </c>
      <c r="D3" s="3"/>
      <c r="E3" s="3"/>
      <c r="F3" s="3"/>
      <c r="G3" s="3"/>
      <c r="H3" s="3"/>
      <c r="I3" s="3"/>
      <c r="J3" s="3"/>
      <c r="K3" s="3"/>
      <c r="L3" s="3">
        <v>800</v>
      </c>
      <c r="M3" s="3"/>
      <c r="N3" s="3"/>
      <c r="O3" s="3"/>
      <c r="P3" s="7">
        <f t="shared" si="0"/>
        <v>1328</v>
      </c>
      <c r="Q3" s="3"/>
      <c r="R3" s="3"/>
      <c r="S3" s="3"/>
      <c r="T3" s="3"/>
      <c r="U3" s="3">
        <v>3</v>
      </c>
      <c r="V3" s="3"/>
      <c r="W3" s="3"/>
      <c r="X3" s="3"/>
      <c r="Y3" s="3"/>
      <c r="Z3" s="3"/>
      <c r="AA3" s="3"/>
    </row>
    <row r="4" spans="1:27" x14ac:dyDescent="0.35">
      <c r="A4" s="3" t="s">
        <v>13</v>
      </c>
      <c r="B4" s="3"/>
      <c r="C4" s="3"/>
      <c r="D4" s="3"/>
      <c r="E4" s="3"/>
      <c r="F4" s="3"/>
      <c r="G4" s="3"/>
      <c r="H4" s="3"/>
      <c r="I4" s="3"/>
      <c r="J4" s="3"/>
      <c r="K4" s="3">
        <v>5</v>
      </c>
      <c r="L4" s="3">
        <v>200</v>
      </c>
      <c r="M4" s="3"/>
      <c r="N4" s="3"/>
      <c r="O4" s="3"/>
      <c r="P4" s="7">
        <f t="shared" si="0"/>
        <v>322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3" t="s">
        <v>15</v>
      </c>
      <c r="B5" s="3"/>
      <c r="C5" s="3"/>
      <c r="D5" s="3"/>
      <c r="E5" s="3"/>
      <c r="F5" s="3"/>
      <c r="G5" s="3"/>
      <c r="H5" s="3"/>
      <c r="I5" s="3">
        <v>150</v>
      </c>
      <c r="J5" s="3"/>
      <c r="K5" s="3"/>
      <c r="L5" s="3"/>
      <c r="M5" s="3"/>
      <c r="N5" s="3"/>
      <c r="O5" s="3"/>
      <c r="P5" s="7">
        <f t="shared" si="0"/>
        <v>225</v>
      </c>
      <c r="Q5" s="3"/>
      <c r="R5" s="3">
        <v>900</v>
      </c>
      <c r="S5" s="3"/>
      <c r="T5" s="3"/>
      <c r="U5" s="3"/>
      <c r="V5" s="3"/>
      <c r="W5" s="3"/>
      <c r="X5" s="3"/>
      <c r="Y5" s="3"/>
      <c r="Z5" s="3"/>
      <c r="AA5" s="3"/>
    </row>
    <row r="6" spans="1:27" x14ac:dyDescent="0.35">
      <c r="A6" s="3" t="s">
        <v>17</v>
      </c>
      <c r="B6" s="3"/>
      <c r="C6" s="3"/>
      <c r="D6" s="3"/>
      <c r="E6" s="3"/>
      <c r="F6" s="3"/>
      <c r="G6" s="3"/>
      <c r="H6" s="3"/>
      <c r="I6" s="3">
        <v>12.5</v>
      </c>
      <c r="J6" s="3"/>
      <c r="K6" s="3"/>
      <c r="L6" s="3"/>
      <c r="M6" s="3"/>
      <c r="N6" s="3">
        <v>15</v>
      </c>
      <c r="O6" s="3"/>
      <c r="P6" s="7">
        <f t="shared" si="0"/>
        <v>318.75</v>
      </c>
      <c r="Q6" s="3" t="s">
        <v>140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5">
      <c r="A7" s="3" t="s">
        <v>19</v>
      </c>
      <c r="B7" s="3"/>
      <c r="C7" s="3"/>
      <c r="D7" s="3"/>
      <c r="E7" s="3"/>
      <c r="F7" s="3"/>
      <c r="G7" s="3"/>
      <c r="H7" s="3"/>
      <c r="I7" s="3">
        <v>150</v>
      </c>
      <c r="J7" s="3"/>
      <c r="K7" s="3"/>
      <c r="L7" s="3"/>
      <c r="M7" s="3"/>
      <c r="N7" s="3"/>
      <c r="O7" s="3"/>
      <c r="P7" s="7">
        <f t="shared" si="0"/>
        <v>225</v>
      </c>
      <c r="Q7" s="3" t="s">
        <v>140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5">
      <c r="A8" s="3" t="s">
        <v>20</v>
      </c>
      <c r="B8" s="3"/>
      <c r="C8" s="3"/>
      <c r="D8" s="3"/>
      <c r="E8" s="3"/>
      <c r="F8" s="3"/>
      <c r="G8" s="3"/>
      <c r="H8" s="3"/>
      <c r="I8" s="3"/>
      <c r="J8" s="3">
        <v>4.5</v>
      </c>
      <c r="K8" s="3"/>
      <c r="L8" s="3"/>
      <c r="M8" s="3"/>
      <c r="N8" s="3">
        <v>15</v>
      </c>
      <c r="O8" s="3"/>
      <c r="P8" s="7">
        <f t="shared" si="0"/>
        <v>570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5">
      <c r="A9" s="3" t="s">
        <v>21</v>
      </c>
      <c r="B9" s="3"/>
      <c r="C9" s="3"/>
      <c r="D9" s="3"/>
      <c r="E9" s="3"/>
      <c r="F9" s="3"/>
      <c r="G9" s="3"/>
      <c r="H9" s="3"/>
      <c r="I9" s="3">
        <v>12.5</v>
      </c>
      <c r="J9" s="3"/>
      <c r="K9" s="3"/>
      <c r="L9" s="3"/>
      <c r="M9" s="3"/>
      <c r="N9" s="3">
        <v>15</v>
      </c>
      <c r="O9" s="3"/>
      <c r="P9" s="7">
        <f t="shared" si="0"/>
        <v>318.75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5">
      <c r="A10" s="3" t="s">
        <v>24</v>
      </c>
      <c r="B10" s="3"/>
      <c r="C10" s="3"/>
      <c r="D10" s="3"/>
      <c r="E10" s="3"/>
      <c r="F10" s="3"/>
      <c r="G10" s="3"/>
      <c r="H10" s="3"/>
      <c r="I10" s="3">
        <v>12.5</v>
      </c>
      <c r="J10" s="3"/>
      <c r="K10" s="3"/>
      <c r="L10" s="3"/>
      <c r="M10" s="3"/>
      <c r="N10" s="3"/>
      <c r="O10" s="3"/>
      <c r="P10" s="7">
        <f t="shared" si="0"/>
        <v>18.75</v>
      </c>
      <c r="Q10" s="3"/>
      <c r="R10" s="3"/>
      <c r="S10" s="3"/>
      <c r="T10" s="3"/>
      <c r="U10" s="3">
        <v>1.5</v>
      </c>
      <c r="V10" s="3"/>
      <c r="W10" s="3"/>
      <c r="X10" s="3"/>
      <c r="Y10" s="3"/>
      <c r="Z10" s="3"/>
      <c r="AA10" s="3" t="s">
        <v>141</v>
      </c>
    </row>
    <row r="11" spans="1:27" x14ac:dyDescent="0.35">
      <c r="A11" s="3" t="s">
        <v>26</v>
      </c>
      <c r="B11" s="3"/>
      <c r="C11" s="3">
        <v>800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7">
        <f t="shared" si="0"/>
        <v>640</v>
      </c>
      <c r="Q11" s="3" t="s">
        <v>142</v>
      </c>
      <c r="R11" s="3"/>
      <c r="S11" s="3"/>
      <c r="T11" s="3"/>
      <c r="U11" s="3" t="s">
        <v>143</v>
      </c>
      <c r="V11" s="3"/>
      <c r="W11" s="3"/>
      <c r="X11" s="3"/>
      <c r="Y11" s="3"/>
      <c r="Z11" s="3"/>
      <c r="AA11" s="3"/>
    </row>
    <row r="12" spans="1:27" x14ac:dyDescent="0.35">
      <c r="A12" s="3" t="s">
        <v>27</v>
      </c>
      <c r="B12" s="3"/>
      <c r="C12" s="3"/>
      <c r="D12" s="3"/>
      <c r="E12" s="3"/>
      <c r="F12" s="3"/>
      <c r="G12" s="3"/>
      <c r="H12" s="3"/>
      <c r="I12" s="3">
        <v>75</v>
      </c>
      <c r="J12" s="3"/>
      <c r="K12" s="3"/>
      <c r="L12" s="3">
        <v>400</v>
      </c>
      <c r="M12" s="3"/>
      <c r="N12" s="3"/>
      <c r="O12" s="3"/>
      <c r="P12" s="7">
        <f t="shared" si="0"/>
        <v>456.5</v>
      </c>
      <c r="Q12" s="3" t="s">
        <v>144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5">
      <c r="A13" s="3" t="s">
        <v>28</v>
      </c>
      <c r="B13" s="3"/>
      <c r="C13" s="3"/>
      <c r="D13" s="6" t="s">
        <v>52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7">
        <f t="shared" si="0"/>
        <v>500</v>
      </c>
      <c r="Q13" s="3"/>
      <c r="R13" s="3"/>
      <c r="S13" s="3"/>
      <c r="T13" s="3"/>
      <c r="U13" s="3" t="s">
        <v>145</v>
      </c>
      <c r="V13" s="3"/>
      <c r="W13" s="3"/>
      <c r="X13" s="3"/>
      <c r="Y13" s="3"/>
      <c r="Z13" s="3"/>
      <c r="AA13" s="3"/>
    </row>
    <row r="14" spans="1:27" x14ac:dyDescent="0.35">
      <c r="A14" s="3" t="s">
        <v>29</v>
      </c>
      <c r="B14" s="3"/>
      <c r="C14" s="3"/>
      <c r="D14" s="3"/>
      <c r="E14" s="3"/>
      <c r="F14" s="3"/>
      <c r="G14" s="3"/>
      <c r="H14" s="3"/>
      <c r="I14" s="3">
        <v>200</v>
      </c>
      <c r="J14" s="3"/>
      <c r="K14" s="3"/>
      <c r="L14" s="3">
        <v>800</v>
      </c>
      <c r="M14" s="3"/>
      <c r="N14" s="3"/>
      <c r="O14" s="3"/>
      <c r="P14" s="7">
        <f t="shared" si="0"/>
        <v>988</v>
      </c>
      <c r="Q14" s="3"/>
      <c r="R14" s="3"/>
      <c r="S14" s="3"/>
      <c r="T14" s="3"/>
      <c r="U14" s="3" t="s">
        <v>146</v>
      </c>
      <c r="V14" s="3"/>
      <c r="W14" s="3"/>
      <c r="X14" s="3"/>
      <c r="Y14" s="3"/>
      <c r="Z14" s="3"/>
      <c r="AA14" s="3"/>
    </row>
    <row r="15" spans="1:27" x14ac:dyDescent="0.35">
      <c r="A15" s="3" t="s">
        <v>30</v>
      </c>
      <c r="B15" s="3"/>
      <c r="C15" s="3"/>
      <c r="D15" s="3"/>
      <c r="E15" s="3"/>
      <c r="F15" s="3"/>
      <c r="G15" s="3"/>
      <c r="H15" s="3"/>
      <c r="I15" s="3">
        <v>175</v>
      </c>
      <c r="J15" s="3"/>
      <c r="K15" s="3"/>
      <c r="L15" s="3"/>
      <c r="M15" s="3"/>
      <c r="N15" s="3">
        <v>30</v>
      </c>
      <c r="O15" s="3"/>
      <c r="P15" s="7">
        <f t="shared" si="0"/>
        <v>862.5</v>
      </c>
      <c r="Q15" s="3"/>
      <c r="R15" s="3"/>
      <c r="S15" s="3"/>
      <c r="T15" s="3"/>
      <c r="U15" s="3" t="s">
        <v>147</v>
      </c>
      <c r="V15" s="3"/>
      <c r="W15" s="3"/>
      <c r="X15" s="3"/>
      <c r="Y15" s="3"/>
      <c r="Z15" s="3"/>
      <c r="AA15" s="3" t="s">
        <v>148</v>
      </c>
    </row>
    <row r="16" spans="1:27" x14ac:dyDescent="0.35">
      <c r="A16" s="3" t="s">
        <v>31</v>
      </c>
      <c r="B16" s="3"/>
      <c r="C16" s="3"/>
      <c r="D16" s="3"/>
      <c r="E16" s="3"/>
      <c r="F16" s="3"/>
      <c r="G16" s="3"/>
      <c r="H16" s="3"/>
      <c r="I16" s="3"/>
      <c r="J16" s="15" t="s">
        <v>149</v>
      </c>
      <c r="K16" s="3"/>
      <c r="L16" s="3"/>
      <c r="M16" s="3"/>
      <c r="N16" s="3"/>
      <c r="O16" s="3"/>
      <c r="P16" s="7">
        <f t="shared" si="0"/>
        <v>450</v>
      </c>
      <c r="Q16" s="3" t="s">
        <v>142</v>
      </c>
      <c r="R16" s="3"/>
      <c r="S16" s="3"/>
      <c r="T16" s="3"/>
      <c r="U16" s="3" t="s">
        <v>150</v>
      </c>
      <c r="V16" s="3"/>
      <c r="W16" s="3"/>
      <c r="X16" s="3"/>
      <c r="Y16" s="3"/>
      <c r="Z16" s="3"/>
      <c r="AA16" s="3"/>
    </row>
    <row r="17" spans="1:27" x14ac:dyDescent="0.35">
      <c r="A17" s="3" t="s">
        <v>32</v>
      </c>
      <c r="B17" s="3">
        <v>400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7">
        <f t="shared" si="0"/>
        <v>320</v>
      </c>
      <c r="Q17" s="3"/>
      <c r="R17" s="3">
        <v>1000</v>
      </c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3" t="s">
        <v>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7">
        <f t="shared" si="0"/>
        <v>0</v>
      </c>
      <c r="Q18" s="3"/>
      <c r="R18" s="3">
        <v>600</v>
      </c>
      <c r="S18" s="3"/>
      <c r="T18" s="3">
        <v>30</v>
      </c>
      <c r="U18" s="3"/>
      <c r="V18" s="3">
        <v>0.5</v>
      </c>
      <c r="W18" s="3">
        <v>80</v>
      </c>
      <c r="X18" s="3"/>
      <c r="Y18" s="3"/>
      <c r="Z18" s="3"/>
      <c r="AA18" s="3"/>
    </row>
    <row r="19" spans="1:27" x14ac:dyDescent="0.35">
      <c r="A19" s="3" t="s">
        <v>34</v>
      </c>
      <c r="B19" s="3"/>
      <c r="C19" s="3"/>
      <c r="D19" s="3">
        <v>1</v>
      </c>
      <c r="E19" s="3"/>
      <c r="F19" s="3"/>
      <c r="G19" s="3"/>
      <c r="H19" s="3"/>
      <c r="I19" s="3">
        <v>150</v>
      </c>
      <c r="J19" s="3"/>
      <c r="K19" s="3"/>
      <c r="L19" s="3"/>
      <c r="M19" s="3"/>
      <c r="N19" s="3">
        <v>15</v>
      </c>
      <c r="O19" s="3"/>
      <c r="P19" s="7">
        <f t="shared" si="0"/>
        <v>625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3" t="s">
        <v>35</v>
      </c>
      <c r="B20" s="3"/>
      <c r="C20" s="3"/>
      <c r="D20" s="3"/>
      <c r="E20" s="3"/>
      <c r="F20" s="3"/>
      <c r="G20" s="3"/>
      <c r="H20" s="3"/>
      <c r="I20" s="3">
        <v>125</v>
      </c>
      <c r="J20" s="3"/>
      <c r="K20" s="3"/>
      <c r="L20" s="3"/>
      <c r="M20" s="3"/>
      <c r="N20" s="3">
        <v>15</v>
      </c>
      <c r="O20" s="3"/>
      <c r="P20" s="7">
        <f t="shared" si="0"/>
        <v>487.5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3" t="s">
        <v>36</v>
      </c>
      <c r="B21" s="3"/>
      <c r="C21" s="3"/>
      <c r="D21" s="3"/>
      <c r="E21" s="3"/>
      <c r="F21" s="3"/>
      <c r="G21" s="3"/>
      <c r="H21" s="3"/>
      <c r="I21" s="3"/>
      <c r="J21" s="3">
        <v>3</v>
      </c>
      <c r="K21" s="3">
        <v>7.5</v>
      </c>
      <c r="L21" s="3"/>
      <c r="M21" s="3"/>
      <c r="N21" s="3"/>
      <c r="O21" s="3"/>
      <c r="P21" s="7">
        <f t="shared" si="0"/>
        <v>405</v>
      </c>
      <c r="Q21" s="3"/>
      <c r="R21" s="3"/>
      <c r="S21" s="3"/>
      <c r="T21" s="3"/>
      <c r="U21" s="3">
        <v>0.5</v>
      </c>
      <c r="V21" s="3"/>
      <c r="W21" s="3"/>
      <c r="X21" s="3"/>
      <c r="Y21" s="3"/>
      <c r="Z21" s="3"/>
      <c r="AA21" s="3"/>
    </row>
    <row r="22" spans="1:27" x14ac:dyDescent="0.35">
      <c r="A22" s="3" t="s">
        <v>37</v>
      </c>
      <c r="B22" s="3">
        <v>650</v>
      </c>
      <c r="C22" s="3"/>
      <c r="D22" s="3"/>
      <c r="E22" s="3"/>
      <c r="F22" s="3"/>
      <c r="G22" s="3"/>
      <c r="H22" s="3"/>
      <c r="I22" s="3"/>
      <c r="J22" s="3"/>
      <c r="K22" s="3"/>
      <c r="L22" s="3">
        <v>150</v>
      </c>
      <c r="M22" s="3"/>
      <c r="N22" s="3"/>
      <c r="O22" s="3"/>
      <c r="P22" s="7">
        <f t="shared" si="0"/>
        <v>649</v>
      </c>
      <c r="Q22" s="3"/>
      <c r="R22" s="3"/>
      <c r="S22" s="3"/>
      <c r="T22" s="3"/>
      <c r="U22" s="3"/>
      <c r="V22" s="3"/>
      <c r="W22" s="3"/>
      <c r="X22" s="3">
        <v>50</v>
      </c>
      <c r="Y22" s="3"/>
      <c r="Z22" s="3"/>
      <c r="AA22" s="3"/>
    </row>
    <row r="23" spans="1:27" x14ac:dyDescent="0.35">
      <c r="A23" s="7" t="s">
        <v>38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7">
        <f t="shared" si="0"/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5">
      <c r="A24" s="7" t="s">
        <v>39</v>
      </c>
      <c r="B24" s="3"/>
      <c r="C24" s="3"/>
      <c r="D24" s="3"/>
      <c r="E24" s="3"/>
      <c r="F24" s="3"/>
      <c r="G24" s="3"/>
      <c r="H24" s="3"/>
      <c r="I24" s="3">
        <v>25</v>
      </c>
      <c r="J24" s="3"/>
      <c r="K24" s="3"/>
      <c r="L24" s="3"/>
      <c r="M24" s="3"/>
      <c r="N24" s="3"/>
      <c r="O24" s="3"/>
      <c r="P24" s="7">
        <f t="shared" si="0"/>
        <v>37.5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5">
      <c r="A25" s="7" t="s">
        <v>41</v>
      </c>
      <c r="B25" s="3">
        <v>150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7">
        <f t="shared" si="0"/>
        <v>120</v>
      </c>
      <c r="Q25" s="3"/>
      <c r="R25" s="3"/>
      <c r="S25" s="3"/>
      <c r="T25" s="3"/>
      <c r="U25" s="3"/>
      <c r="V25" s="3">
        <v>0.5</v>
      </c>
      <c r="W25" s="3"/>
      <c r="X25" s="3"/>
      <c r="Y25" s="3"/>
      <c r="Z25" s="3"/>
      <c r="AA25" s="3"/>
    </row>
    <row r="26" spans="1:27" x14ac:dyDescent="0.35">
      <c r="A26" s="7" t="s">
        <v>42</v>
      </c>
      <c r="B26" s="3"/>
      <c r="C26" s="3"/>
      <c r="D26" s="3"/>
      <c r="E26" s="3"/>
      <c r="F26" s="3"/>
      <c r="G26" s="3"/>
      <c r="H26" s="3"/>
      <c r="I26" s="3">
        <v>450</v>
      </c>
      <c r="J26" s="3"/>
      <c r="K26" s="3"/>
      <c r="L26" s="3">
        <v>400</v>
      </c>
      <c r="M26" s="3"/>
      <c r="O26" s="3"/>
      <c r="P26" s="7">
        <f t="shared" si="0"/>
        <v>1019</v>
      </c>
      <c r="R26" s="3"/>
      <c r="S26" s="3"/>
      <c r="U26" s="3"/>
      <c r="V26" s="3"/>
      <c r="W26" s="3"/>
      <c r="X26" s="3"/>
      <c r="Y26" s="3">
        <v>40</v>
      </c>
    </row>
    <row r="27" spans="1:27" x14ac:dyDescent="0.35">
      <c r="A27" s="7" t="s">
        <v>43</v>
      </c>
      <c r="B27" s="3"/>
      <c r="C27" s="3"/>
      <c r="D27" s="3"/>
      <c r="E27" s="3"/>
      <c r="F27" s="3"/>
      <c r="G27" s="3"/>
      <c r="H27" s="3"/>
      <c r="I27" s="3"/>
      <c r="J27" s="3"/>
      <c r="K27" s="3">
        <v>7.5</v>
      </c>
      <c r="L27" s="3"/>
      <c r="M27" s="3"/>
      <c r="O27" s="3"/>
      <c r="P27" s="7">
        <f t="shared" si="0"/>
        <v>225</v>
      </c>
      <c r="R27" s="3"/>
      <c r="S27" s="3"/>
      <c r="U27" s="3" t="s">
        <v>151</v>
      </c>
      <c r="V27" s="3"/>
      <c r="W27" s="3"/>
      <c r="X27" s="3"/>
      <c r="Y27" s="3"/>
    </row>
    <row r="28" spans="1:27" x14ac:dyDescent="0.35">
      <c r="A28" s="3" t="s">
        <v>44</v>
      </c>
      <c r="B28" s="3"/>
      <c r="C28" s="3"/>
      <c r="D28" s="3">
        <v>7</v>
      </c>
      <c r="E28" s="3"/>
      <c r="F28" s="3">
        <v>151</v>
      </c>
      <c r="G28" s="3"/>
      <c r="H28" s="3"/>
      <c r="I28" s="3"/>
      <c r="J28" s="3"/>
      <c r="K28" s="3"/>
      <c r="L28" s="3"/>
      <c r="M28" s="3"/>
      <c r="N28" s="3"/>
      <c r="O28" s="3"/>
      <c r="P28" s="7">
        <f t="shared" si="0"/>
        <v>1606</v>
      </c>
      <c r="Q28" s="3"/>
      <c r="R28" s="3">
        <v>901</v>
      </c>
      <c r="S28" s="3"/>
      <c r="T28" s="3"/>
      <c r="U28" s="3"/>
      <c r="V28" s="3"/>
      <c r="W28" s="3"/>
      <c r="X28" s="3"/>
      <c r="Y28" s="3"/>
    </row>
    <row r="29" spans="1:27" x14ac:dyDescent="0.35">
      <c r="A29" s="7" t="s">
        <v>45</v>
      </c>
      <c r="B29" s="3"/>
      <c r="C29" s="3"/>
      <c r="D29" s="3">
        <v>3</v>
      </c>
      <c r="E29" s="3"/>
      <c r="F29" s="3"/>
      <c r="G29" s="3"/>
      <c r="H29" s="3"/>
      <c r="I29" s="3"/>
      <c r="J29" s="3"/>
      <c r="K29" s="3"/>
      <c r="L29" s="3"/>
      <c r="M29" s="3"/>
      <c r="O29" s="3"/>
      <c r="P29" s="7">
        <f t="shared" si="0"/>
        <v>300</v>
      </c>
      <c r="R29" s="3"/>
      <c r="S29" s="3"/>
      <c r="U29" s="3"/>
      <c r="V29" s="3"/>
      <c r="W29" s="3"/>
      <c r="X29" s="3"/>
      <c r="Y29" s="3"/>
    </row>
    <row r="30" spans="1:27" x14ac:dyDescent="0.35">
      <c r="A30" s="7" t="s">
        <v>46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7">
        <v>15</v>
      </c>
      <c r="O30" s="3"/>
      <c r="P30" s="7">
        <f t="shared" si="0"/>
        <v>300</v>
      </c>
      <c r="R30" s="3"/>
      <c r="S30" s="3"/>
      <c r="U30" s="3"/>
      <c r="V30" s="3"/>
      <c r="W30" s="3"/>
      <c r="X30" s="3"/>
      <c r="Y30" s="3"/>
    </row>
    <row r="31" spans="1:27" x14ac:dyDescent="0.35">
      <c r="A31" s="7" t="s">
        <v>48</v>
      </c>
      <c r="B31" s="3"/>
      <c r="C31" s="3"/>
      <c r="D31" s="3"/>
      <c r="E31" s="3"/>
      <c r="F31" s="3"/>
      <c r="G31" s="3">
        <v>20</v>
      </c>
      <c r="H31" s="3"/>
      <c r="I31" s="3">
        <v>37.5</v>
      </c>
      <c r="J31" s="3"/>
      <c r="K31" s="3"/>
      <c r="L31" s="3"/>
      <c r="M31" s="3"/>
      <c r="O31" s="3"/>
      <c r="P31" s="7">
        <f t="shared" si="0"/>
        <v>356.25</v>
      </c>
      <c r="Q31" s="7" t="s">
        <v>152</v>
      </c>
      <c r="R31" s="3"/>
      <c r="S31" s="3"/>
      <c r="U31" s="3"/>
      <c r="V31" s="3"/>
      <c r="W31" s="3"/>
      <c r="X31" s="3"/>
      <c r="Y31" s="3"/>
    </row>
    <row r="32" spans="1:27" x14ac:dyDescent="0.35">
      <c r="A32" s="7" t="s">
        <v>49</v>
      </c>
      <c r="B32" s="3"/>
      <c r="C32" s="3"/>
      <c r="D32" s="3"/>
      <c r="E32" s="3"/>
      <c r="F32" s="3"/>
      <c r="G32" s="3"/>
      <c r="H32" s="3"/>
      <c r="I32" s="3">
        <v>125</v>
      </c>
      <c r="J32" s="3"/>
      <c r="K32" s="3"/>
      <c r="L32" s="3"/>
      <c r="M32" s="3"/>
      <c r="O32" s="3"/>
      <c r="P32" s="7">
        <f t="shared" si="0"/>
        <v>187.5</v>
      </c>
      <c r="Q32" s="7" t="s">
        <v>142</v>
      </c>
      <c r="R32" s="3"/>
      <c r="S32" s="3"/>
      <c r="U32" s="3"/>
      <c r="V32" s="3"/>
      <c r="W32" s="3"/>
      <c r="X32" s="3"/>
      <c r="Y32" s="3"/>
    </row>
    <row r="33" spans="1:27" x14ac:dyDescent="0.35">
      <c r="A33" s="3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O33" s="3"/>
      <c r="Q33" s="7"/>
      <c r="R33" s="3"/>
      <c r="S33" s="3"/>
      <c r="U33" s="3"/>
      <c r="V33" s="3"/>
      <c r="W33" s="3"/>
      <c r="X33" s="3"/>
      <c r="Y33" s="3"/>
    </row>
    <row r="34" spans="1:27" x14ac:dyDescent="0.35">
      <c r="A34" s="7" t="s">
        <v>53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>
        <v>200</v>
      </c>
      <c r="M34" s="3"/>
      <c r="O34" s="3"/>
      <c r="P34" s="7">
        <f t="shared" ref="P34:P50" si="1">B34*0.8+C34*0.8+D34*100+(E34/50)*20*30+(F34/100)*20*30+(G34/40)*20*30+(H34/200)*20*30+I34*1.5+J34*60+K34*30+L34*0.86+M34*20+N34*20+O34*3.75</f>
        <v>172</v>
      </c>
      <c r="R34" s="3"/>
      <c r="S34" s="3"/>
      <c r="U34" s="3"/>
      <c r="V34" s="3"/>
      <c r="W34" s="3"/>
      <c r="X34" s="3"/>
      <c r="Y34" s="3"/>
    </row>
    <row r="35" spans="1:27" x14ac:dyDescent="0.35">
      <c r="A35" s="7" t="s">
        <v>55</v>
      </c>
      <c r="B35" s="3"/>
      <c r="C35" s="3"/>
      <c r="D35" s="3"/>
      <c r="E35" s="3"/>
      <c r="F35" s="3"/>
      <c r="G35" s="3"/>
      <c r="H35" s="3"/>
      <c r="I35" s="3">
        <v>200</v>
      </c>
      <c r="J35" s="3"/>
      <c r="K35" s="3"/>
      <c r="L35" s="3"/>
      <c r="M35" s="3"/>
      <c r="O35" s="3"/>
      <c r="P35" s="7">
        <f t="shared" si="1"/>
        <v>300</v>
      </c>
      <c r="R35" s="3"/>
      <c r="S35" s="3"/>
      <c r="U35" s="3"/>
      <c r="V35" s="3"/>
      <c r="W35" s="3"/>
      <c r="X35" s="3"/>
      <c r="Y35" s="3"/>
    </row>
    <row r="36" spans="1:27" x14ac:dyDescent="0.35">
      <c r="A36" s="7" t="s">
        <v>56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O36" s="3"/>
      <c r="P36" s="7">
        <f t="shared" si="1"/>
        <v>0</v>
      </c>
      <c r="R36" s="3"/>
      <c r="S36" s="3">
        <v>20</v>
      </c>
      <c r="U36" s="3"/>
      <c r="V36" s="3">
        <v>0.5</v>
      </c>
      <c r="W36" s="3"/>
      <c r="X36" s="3"/>
      <c r="Y36" s="3">
        <v>20</v>
      </c>
      <c r="AA36" s="16" t="s">
        <v>153</v>
      </c>
    </row>
    <row r="37" spans="1:27" x14ac:dyDescent="0.35">
      <c r="A37" s="7" t="s">
        <v>57</v>
      </c>
      <c r="B37" s="3">
        <v>150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O37" s="3"/>
      <c r="P37" s="7">
        <f t="shared" si="1"/>
        <v>120</v>
      </c>
      <c r="R37" s="3"/>
      <c r="S37" s="3"/>
      <c r="U37" s="3" t="s">
        <v>151</v>
      </c>
      <c r="V37" s="3"/>
      <c r="W37" s="3"/>
      <c r="X37" s="3"/>
      <c r="Y37" s="3"/>
    </row>
    <row r="38" spans="1:27" x14ac:dyDescent="0.35">
      <c r="A38" s="7" t="s">
        <v>58</v>
      </c>
      <c r="B38" s="3"/>
      <c r="C38" s="3"/>
      <c r="D38" s="3"/>
      <c r="E38" s="3"/>
      <c r="F38" s="3"/>
      <c r="G38" s="3"/>
      <c r="H38" s="3"/>
      <c r="I38" s="3"/>
      <c r="J38" s="3"/>
      <c r="K38" s="3">
        <v>10</v>
      </c>
      <c r="L38" s="3"/>
      <c r="M38" s="3"/>
      <c r="N38" s="7">
        <v>15</v>
      </c>
      <c r="O38" s="3"/>
      <c r="P38" s="7">
        <f t="shared" si="1"/>
        <v>600</v>
      </c>
      <c r="R38" s="3"/>
      <c r="S38" s="3"/>
      <c r="U38" s="3" t="s">
        <v>151</v>
      </c>
      <c r="V38" s="3"/>
      <c r="W38" s="3"/>
      <c r="X38" s="3"/>
      <c r="Y38" s="3"/>
    </row>
    <row r="39" spans="1:27" x14ac:dyDescent="0.35">
      <c r="A39" s="7" t="s">
        <v>59</v>
      </c>
      <c r="B39" s="3"/>
      <c r="C39" s="3"/>
      <c r="D39" s="3"/>
      <c r="E39" s="3"/>
      <c r="F39" s="3"/>
      <c r="G39" s="3"/>
      <c r="H39" s="3"/>
      <c r="I39" s="3">
        <v>150</v>
      </c>
      <c r="J39" s="3"/>
      <c r="K39" s="3"/>
      <c r="L39" s="3"/>
      <c r="M39" s="3"/>
      <c r="O39" s="3"/>
      <c r="P39" s="7">
        <f t="shared" si="1"/>
        <v>225</v>
      </c>
      <c r="R39" s="3"/>
      <c r="S39" s="3"/>
      <c r="U39" s="3"/>
      <c r="V39" s="3"/>
      <c r="W39" s="3"/>
      <c r="X39" s="3"/>
      <c r="Y39" s="3"/>
    </row>
    <row r="40" spans="1:27" x14ac:dyDescent="0.35">
      <c r="A40" s="7" t="s">
        <v>60</v>
      </c>
      <c r="B40" s="3"/>
      <c r="C40" s="3"/>
      <c r="D40" s="3"/>
      <c r="E40" s="3"/>
      <c r="F40" s="3"/>
      <c r="G40" s="3"/>
      <c r="H40" s="3"/>
      <c r="I40" s="3">
        <v>500</v>
      </c>
      <c r="J40" s="3">
        <v>3</v>
      </c>
      <c r="K40" s="3"/>
      <c r="L40" s="3"/>
      <c r="M40" s="3"/>
      <c r="O40" s="3"/>
      <c r="P40" s="7">
        <f t="shared" si="1"/>
        <v>930</v>
      </c>
      <c r="R40" s="3"/>
      <c r="S40" s="3"/>
      <c r="U40" s="3"/>
      <c r="V40" s="3"/>
      <c r="W40" s="3"/>
      <c r="X40" s="3"/>
      <c r="Y40" s="3"/>
    </row>
    <row r="41" spans="1:27" x14ac:dyDescent="0.35">
      <c r="A41" s="7" t="s">
        <v>62</v>
      </c>
      <c r="B41" s="3"/>
      <c r="C41" s="3"/>
      <c r="D41" s="3"/>
      <c r="E41" s="3"/>
      <c r="F41" s="3"/>
      <c r="G41" s="3"/>
      <c r="H41" s="3"/>
      <c r="I41" s="3"/>
      <c r="J41" s="3"/>
      <c r="K41" s="3">
        <v>10</v>
      </c>
      <c r="L41" s="3"/>
      <c r="M41" s="3"/>
      <c r="O41" s="3"/>
      <c r="P41" s="7">
        <f t="shared" si="1"/>
        <v>300</v>
      </c>
      <c r="R41" s="3"/>
      <c r="S41" s="3"/>
      <c r="U41" s="3" t="s">
        <v>151</v>
      </c>
      <c r="V41" s="3"/>
      <c r="W41" s="3"/>
      <c r="X41" s="3"/>
      <c r="Y41" s="3"/>
    </row>
    <row r="42" spans="1:27" x14ac:dyDescent="0.35">
      <c r="A42" s="7" t="s">
        <v>63</v>
      </c>
      <c r="B42" s="3"/>
      <c r="C42" s="3"/>
      <c r="D42" s="3"/>
      <c r="E42" s="3"/>
      <c r="F42" s="3"/>
      <c r="G42" s="3"/>
      <c r="H42" s="3"/>
      <c r="I42" s="3">
        <v>150</v>
      </c>
      <c r="J42" s="3"/>
      <c r="K42" s="3"/>
      <c r="L42" s="3"/>
      <c r="M42" s="3"/>
      <c r="O42" s="3"/>
      <c r="P42" s="7">
        <f t="shared" si="1"/>
        <v>225</v>
      </c>
      <c r="R42" s="3"/>
      <c r="S42" s="3"/>
      <c r="U42" s="3"/>
      <c r="V42" s="3"/>
      <c r="W42" s="3"/>
      <c r="X42" s="3"/>
      <c r="Y42" s="3"/>
    </row>
    <row r="43" spans="1:27" x14ac:dyDescent="0.35">
      <c r="A43" s="7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3">
        <v>10</v>
      </c>
      <c r="L43" s="3"/>
      <c r="M43" s="3"/>
      <c r="O43" s="3"/>
      <c r="P43" s="7">
        <f t="shared" si="1"/>
        <v>300</v>
      </c>
      <c r="R43" s="3"/>
      <c r="S43" s="3"/>
      <c r="U43" s="3"/>
      <c r="V43" s="3"/>
      <c r="W43" s="3"/>
      <c r="X43" s="3"/>
      <c r="Y43" s="3"/>
    </row>
    <row r="44" spans="1:27" x14ac:dyDescent="0.35">
      <c r="A44" s="7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>
        <v>15</v>
      </c>
      <c r="O44" s="3"/>
      <c r="P44" s="7">
        <f t="shared" si="1"/>
        <v>300</v>
      </c>
      <c r="R44" s="3"/>
      <c r="S44" s="3"/>
      <c r="U44" s="3" t="s">
        <v>154</v>
      </c>
      <c r="V44" s="3"/>
      <c r="W44" s="3"/>
      <c r="X44" s="3"/>
      <c r="Y44" s="3"/>
    </row>
    <row r="45" spans="1:27" x14ac:dyDescent="0.35">
      <c r="A45" s="7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3">
        <v>10</v>
      </c>
      <c r="L45" s="3"/>
      <c r="M45" s="3"/>
      <c r="N45" s="7">
        <v>15</v>
      </c>
      <c r="O45" s="3"/>
      <c r="P45" s="7">
        <f t="shared" si="1"/>
        <v>600</v>
      </c>
      <c r="R45" s="3"/>
      <c r="S45" s="3"/>
      <c r="U45" s="3"/>
      <c r="V45" s="3"/>
      <c r="W45" s="3"/>
      <c r="X45" s="3"/>
      <c r="Y45" s="3"/>
    </row>
    <row r="46" spans="1:27" x14ac:dyDescent="0.35">
      <c r="A46" s="7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O46" s="3"/>
      <c r="P46" s="7">
        <f t="shared" si="1"/>
        <v>0</v>
      </c>
      <c r="R46" s="3"/>
      <c r="S46" s="3"/>
      <c r="U46" s="3">
        <v>3</v>
      </c>
      <c r="V46" s="3"/>
      <c r="W46" s="3"/>
      <c r="X46" s="3"/>
      <c r="Y46" s="3"/>
    </row>
    <row r="47" spans="1:27" x14ac:dyDescent="0.35">
      <c r="A47" s="7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  <c r="P47" s="7">
        <f t="shared" si="1"/>
        <v>0</v>
      </c>
      <c r="R47" s="3"/>
      <c r="S47" s="3"/>
      <c r="U47" s="3"/>
      <c r="V47" s="3"/>
      <c r="W47" s="3"/>
      <c r="X47" s="3"/>
      <c r="Y47" s="3"/>
    </row>
    <row r="48" spans="1:27" x14ac:dyDescent="0.35">
      <c r="A48" s="7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O48" s="3"/>
      <c r="P48" s="7">
        <f t="shared" si="1"/>
        <v>0</v>
      </c>
      <c r="R48" s="3"/>
      <c r="S48" s="3"/>
      <c r="U48" s="3"/>
      <c r="V48" s="3"/>
      <c r="W48" s="3"/>
      <c r="X48" s="3"/>
      <c r="Y48" s="3"/>
    </row>
    <row r="49" spans="1:25" x14ac:dyDescent="0.35">
      <c r="A49" s="7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3">
        <v>5</v>
      </c>
      <c r="L49" s="3"/>
      <c r="M49" s="3"/>
      <c r="N49" s="7">
        <v>15</v>
      </c>
      <c r="O49" s="3"/>
      <c r="P49" s="7">
        <f t="shared" si="1"/>
        <v>450</v>
      </c>
      <c r="Q49" s="7"/>
      <c r="R49" s="3"/>
      <c r="S49" s="3"/>
      <c r="U49" s="3"/>
      <c r="V49" s="3"/>
      <c r="W49" s="3"/>
      <c r="X49" s="3"/>
      <c r="Y49" s="3">
        <v>5</v>
      </c>
    </row>
    <row r="50" spans="1:25" x14ac:dyDescent="0.35">
      <c r="A50" s="7" t="s">
        <v>72</v>
      </c>
      <c r="B50" s="3"/>
      <c r="C50" s="3"/>
      <c r="D50" s="3"/>
      <c r="E50" s="3"/>
      <c r="F50" s="3"/>
      <c r="G50" s="3"/>
      <c r="H50" s="3"/>
      <c r="I50" s="3">
        <v>100</v>
      </c>
      <c r="J50" s="3"/>
      <c r="K50" s="3"/>
      <c r="L50" s="3">
        <v>800</v>
      </c>
      <c r="M50" s="3"/>
      <c r="O50" s="3"/>
      <c r="P50" s="7">
        <f t="shared" si="1"/>
        <v>838</v>
      </c>
      <c r="R50" s="3"/>
      <c r="S50" s="3"/>
      <c r="U50" s="3"/>
      <c r="V50" s="3"/>
      <c r="W50" s="3"/>
      <c r="X50" s="3"/>
      <c r="Y50" s="3"/>
    </row>
    <row r="51" spans="1:25" x14ac:dyDescent="0.35">
      <c r="A51" s="7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  <c r="R51" s="3"/>
      <c r="S51" s="3"/>
      <c r="U51" s="3"/>
      <c r="V51" s="3"/>
      <c r="W51" s="3"/>
      <c r="X51" s="3"/>
      <c r="Y51" s="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93"/>
  <sheetViews>
    <sheetView tabSelected="1" topLeftCell="A35" zoomScaleNormal="100" workbookViewId="0">
      <selection activeCell="I53" sqref="I53"/>
    </sheetView>
  </sheetViews>
  <sheetFormatPr defaultRowHeight="14" x14ac:dyDescent="0.3"/>
  <cols>
    <col min="1" max="1" width="11" style="1" customWidth="1"/>
    <col min="2" max="2" width="72.81640625" style="1" customWidth="1"/>
    <col min="3" max="3" width="11" style="1" customWidth="1"/>
    <col min="4" max="4" width="17.26953125" style="1" customWidth="1"/>
    <col min="5" max="5" width="12.26953125" style="1" customWidth="1"/>
    <col min="6" max="6" width="21.08984375" style="1" customWidth="1"/>
    <col min="7" max="7" width="11" style="1" customWidth="1"/>
    <col min="8" max="8" width="12.26953125" style="1" customWidth="1"/>
    <col min="9" max="9" width="16.54296875" style="1" customWidth="1"/>
    <col min="10" max="26" width="11" style="1" customWidth="1"/>
    <col min="27" max="1025" width="21.7265625" style="1" customWidth="1"/>
  </cols>
  <sheetData>
    <row r="1" spans="1:9" ht="14.5" x14ac:dyDescent="0.35">
      <c r="A1" s="17" t="s">
        <v>0</v>
      </c>
      <c r="B1" s="17" t="s">
        <v>155</v>
      </c>
      <c r="C1" s="17" t="s">
        <v>156</v>
      </c>
      <c r="D1" s="17" t="s">
        <v>157</v>
      </c>
      <c r="E1" s="17" t="s">
        <v>158</v>
      </c>
      <c r="F1" s="17" t="s">
        <v>159</v>
      </c>
      <c r="G1" s="17" t="s">
        <v>160</v>
      </c>
      <c r="H1" s="17" t="s">
        <v>161</v>
      </c>
      <c r="I1" s="17" t="s">
        <v>162</v>
      </c>
    </row>
    <row r="2" spans="1:9" ht="14.5" x14ac:dyDescent="0.35">
      <c r="A2" s="4" t="s">
        <v>8</v>
      </c>
      <c r="B2" s="3"/>
      <c r="C2" s="3"/>
      <c r="D2" s="3"/>
      <c r="E2" s="3"/>
      <c r="F2" s="3"/>
      <c r="G2" s="3"/>
      <c r="H2" s="3"/>
      <c r="I2" s="3"/>
    </row>
    <row r="3" spans="1:9" ht="14.5" x14ac:dyDescent="0.35">
      <c r="A3" s="4" t="s">
        <v>11</v>
      </c>
      <c r="B3" s="3" t="s">
        <v>163</v>
      </c>
      <c r="C3" s="3" t="s">
        <v>164</v>
      </c>
      <c r="D3" s="3">
        <v>0</v>
      </c>
      <c r="E3" s="3">
        <v>0</v>
      </c>
      <c r="F3" s="3">
        <v>0</v>
      </c>
      <c r="G3" s="3">
        <v>2</v>
      </c>
      <c r="H3" s="3">
        <v>0</v>
      </c>
      <c r="I3" s="3" t="s">
        <v>165</v>
      </c>
    </row>
    <row r="4" spans="1:9" ht="14.5" x14ac:dyDescent="0.35">
      <c r="A4" s="4" t="s">
        <v>13</v>
      </c>
      <c r="B4" s="3" t="s">
        <v>166</v>
      </c>
      <c r="C4" s="3">
        <v>2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 t="s">
        <v>165</v>
      </c>
    </row>
    <row r="5" spans="1:9" ht="14.5" x14ac:dyDescent="0.35">
      <c r="A5" s="4" t="s">
        <v>15</v>
      </c>
      <c r="B5" s="3" t="s">
        <v>167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165</v>
      </c>
    </row>
    <row r="6" spans="1:9" ht="14.5" x14ac:dyDescent="0.35">
      <c r="A6" s="4" t="s">
        <v>17</v>
      </c>
      <c r="B6" s="3" t="s">
        <v>168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165</v>
      </c>
    </row>
    <row r="7" spans="1:9" ht="14.5" x14ac:dyDescent="0.35">
      <c r="A7" s="4" t="s">
        <v>19</v>
      </c>
      <c r="B7" s="3" t="s">
        <v>169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 t="s">
        <v>170</v>
      </c>
    </row>
    <row r="8" spans="1:9" ht="14.5" x14ac:dyDescent="0.35">
      <c r="A8" s="4" t="s">
        <v>20</v>
      </c>
      <c r="B8" s="3" t="s">
        <v>171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 t="s">
        <v>165</v>
      </c>
    </row>
    <row r="9" spans="1:9" ht="14.5" x14ac:dyDescent="0.35">
      <c r="A9" s="4" t="s">
        <v>21</v>
      </c>
      <c r="B9" s="3"/>
      <c r="C9" s="3"/>
      <c r="D9" s="3"/>
      <c r="E9" s="3"/>
      <c r="F9" s="3"/>
      <c r="G9" s="3"/>
      <c r="H9" s="3"/>
      <c r="I9" s="3"/>
    </row>
    <row r="10" spans="1:9" ht="14.5" x14ac:dyDescent="0.35">
      <c r="A10" s="4" t="s">
        <v>24</v>
      </c>
      <c r="B10" s="3" t="s">
        <v>172</v>
      </c>
      <c r="C10" s="3">
        <v>2</v>
      </c>
      <c r="D10" s="3">
        <v>1</v>
      </c>
      <c r="E10" s="3" t="s">
        <v>173</v>
      </c>
      <c r="F10" s="3">
        <v>10</v>
      </c>
      <c r="G10" s="3">
        <v>0</v>
      </c>
      <c r="H10" s="3">
        <v>1</v>
      </c>
      <c r="I10" s="3" t="s">
        <v>170</v>
      </c>
    </row>
    <row r="11" spans="1:9" ht="14.5" x14ac:dyDescent="0.35">
      <c r="A11" s="4" t="s">
        <v>26</v>
      </c>
      <c r="B11" s="3" t="s">
        <v>174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165</v>
      </c>
    </row>
    <row r="12" spans="1:9" ht="14.5" x14ac:dyDescent="0.35">
      <c r="A12" s="4" t="s">
        <v>27</v>
      </c>
      <c r="B12" s="3" t="s">
        <v>175</v>
      </c>
      <c r="C12" s="18">
        <v>42371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165</v>
      </c>
    </row>
    <row r="13" spans="1:9" ht="14.5" x14ac:dyDescent="0.35">
      <c r="A13" s="4" t="s">
        <v>28</v>
      </c>
      <c r="B13" s="3" t="s">
        <v>176</v>
      </c>
      <c r="C13" s="3">
        <v>5</v>
      </c>
      <c r="D13" s="3">
        <v>3</v>
      </c>
      <c r="E13" s="3">
        <v>35</v>
      </c>
      <c r="F13" s="3">
        <v>20</v>
      </c>
      <c r="G13" s="3">
        <v>0</v>
      </c>
      <c r="H13" s="3">
        <v>0</v>
      </c>
      <c r="I13" s="3" t="s">
        <v>165</v>
      </c>
    </row>
    <row r="14" spans="1:9" ht="14.5" x14ac:dyDescent="0.35">
      <c r="A14" s="4" t="s">
        <v>29</v>
      </c>
      <c r="B14" s="3" t="s">
        <v>177</v>
      </c>
      <c r="C14" s="3">
        <v>4</v>
      </c>
      <c r="D14" s="3">
        <v>4</v>
      </c>
      <c r="E14" s="3">
        <v>35</v>
      </c>
      <c r="F14" s="3">
        <v>30</v>
      </c>
      <c r="G14" s="3">
        <v>0</v>
      </c>
      <c r="H14" s="3">
        <v>0</v>
      </c>
      <c r="I14" s="3" t="s">
        <v>165</v>
      </c>
    </row>
    <row r="15" spans="1:9" ht="14.5" x14ac:dyDescent="0.35">
      <c r="A15" s="4" t="s">
        <v>30</v>
      </c>
      <c r="B15" s="3" t="s">
        <v>178</v>
      </c>
      <c r="C15" s="3">
        <v>2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 t="s">
        <v>165</v>
      </c>
    </row>
    <row r="16" spans="1:9" ht="14.5" x14ac:dyDescent="0.35">
      <c r="A16" s="4" t="s">
        <v>31</v>
      </c>
      <c r="B16" s="3" t="s">
        <v>179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 t="s">
        <v>165</v>
      </c>
    </row>
    <row r="17" spans="1:9" ht="14.5" x14ac:dyDescent="0.35">
      <c r="A17" s="4" t="s">
        <v>32</v>
      </c>
      <c r="B17" s="3" t="s">
        <v>180</v>
      </c>
      <c r="C17" s="3">
        <v>1</v>
      </c>
      <c r="D17" s="3">
        <v>1</v>
      </c>
      <c r="E17" s="3">
        <v>20</v>
      </c>
      <c r="F17" s="3">
        <v>6</v>
      </c>
      <c r="G17" s="3">
        <v>0</v>
      </c>
      <c r="H17" s="3">
        <v>0</v>
      </c>
      <c r="I17" s="3" t="s">
        <v>165</v>
      </c>
    </row>
    <row r="18" spans="1:9" ht="14.5" x14ac:dyDescent="0.35">
      <c r="A18" s="4" t="s">
        <v>33</v>
      </c>
      <c r="B18" s="3"/>
      <c r="C18" s="3"/>
      <c r="D18" s="3"/>
      <c r="E18" s="3"/>
      <c r="F18" s="3"/>
      <c r="G18" s="3"/>
      <c r="H18" s="3"/>
      <c r="I18" s="3"/>
    </row>
    <row r="19" spans="1:9" ht="14.5" x14ac:dyDescent="0.35">
      <c r="A19" s="4" t="s">
        <v>34</v>
      </c>
      <c r="B19" s="3" t="s">
        <v>181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 t="s">
        <v>165</v>
      </c>
    </row>
    <row r="20" spans="1:9" ht="14.5" x14ac:dyDescent="0.35">
      <c r="A20" s="4" t="s">
        <v>35</v>
      </c>
      <c r="B20" s="3"/>
      <c r="C20" s="3"/>
      <c r="D20" s="3"/>
      <c r="E20" s="3"/>
      <c r="F20" s="3"/>
      <c r="G20" s="3"/>
      <c r="H20" s="3"/>
      <c r="I20" s="3"/>
    </row>
    <row r="21" spans="1:9" ht="14.5" x14ac:dyDescent="0.35">
      <c r="A21" s="4" t="s">
        <v>36</v>
      </c>
      <c r="B21" s="3"/>
      <c r="C21" s="18">
        <v>42738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 t="s">
        <v>165</v>
      </c>
    </row>
    <row r="22" spans="1:9" ht="14.5" x14ac:dyDescent="0.35">
      <c r="A22" s="4" t="s">
        <v>37</v>
      </c>
      <c r="B22" s="3" t="s">
        <v>182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 t="s">
        <v>165</v>
      </c>
    </row>
    <row r="23" spans="1:9" ht="14.5" x14ac:dyDescent="0.35">
      <c r="A23" s="4" t="s">
        <v>38</v>
      </c>
      <c r="B23" s="3"/>
      <c r="C23" s="3"/>
      <c r="D23" s="3"/>
      <c r="E23" s="3"/>
      <c r="F23" s="3"/>
      <c r="G23" s="3"/>
      <c r="H23" s="3"/>
      <c r="I23" s="3"/>
    </row>
    <row r="24" spans="1:9" ht="14.5" x14ac:dyDescent="0.35">
      <c r="A24" s="4" t="s">
        <v>39</v>
      </c>
      <c r="B24" s="3"/>
      <c r="C24" s="7"/>
      <c r="D24" s="7"/>
      <c r="E24" s="7"/>
      <c r="F24" s="7"/>
      <c r="G24" s="7"/>
      <c r="H24" s="7"/>
      <c r="I24" s="7"/>
    </row>
    <row r="25" spans="1:9" ht="14.5" x14ac:dyDescent="0.35">
      <c r="A25" s="4" t="s">
        <v>41</v>
      </c>
      <c r="B25" s="3"/>
      <c r="C25" s="3"/>
      <c r="D25" s="3"/>
      <c r="E25" s="3"/>
      <c r="F25" s="3"/>
      <c r="G25" s="3"/>
      <c r="H25" s="3"/>
      <c r="I25" s="3"/>
    </row>
    <row r="26" spans="1:9" ht="14.5" x14ac:dyDescent="0.35">
      <c r="A26" s="4" t="s">
        <v>42</v>
      </c>
      <c r="B26" s="3" t="s">
        <v>183</v>
      </c>
      <c r="C26" s="3">
        <v>0</v>
      </c>
      <c r="D26" s="3">
        <v>0</v>
      </c>
      <c r="E26" s="3" t="s">
        <v>184</v>
      </c>
      <c r="F26" s="3">
        <v>7</v>
      </c>
      <c r="G26" s="3">
        <v>0</v>
      </c>
      <c r="H26" s="3">
        <v>0</v>
      </c>
      <c r="I26" s="3" t="s">
        <v>165</v>
      </c>
    </row>
    <row r="27" spans="1:9" ht="14.5" x14ac:dyDescent="0.35">
      <c r="A27" s="4" t="s">
        <v>43</v>
      </c>
      <c r="B27" s="19" t="s">
        <v>185</v>
      </c>
      <c r="C27" s="19">
        <v>1</v>
      </c>
      <c r="D27" s="19">
        <v>1</v>
      </c>
      <c r="E27" s="19">
        <v>5</v>
      </c>
      <c r="F27" s="19">
        <v>4</v>
      </c>
      <c r="G27" s="19">
        <v>0</v>
      </c>
      <c r="H27" s="19">
        <v>0</v>
      </c>
      <c r="I27" s="19" t="s">
        <v>165</v>
      </c>
    </row>
    <row r="28" spans="1:9" ht="14.5" x14ac:dyDescent="0.35">
      <c r="A28" s="4" t="s">
        <v>44</v>
      </c>
      <c r="B28" s="3" t="s">
        <v>186</v>
      </c>
      <c r="C28" s="3">
        <v>1</v>
      </c>
      <c r="D28" s="3">
        <v>1</v>
      </c>
      <c r="E28" s="3">
        <v>5</v>
      </c>
      <c r="F28" s="3">
        <v>6</v>
      </c>
      <c r="G28" s="3">
        <v>0</v>
      </c>
      <c r="H28" s="3">
        <v>0</v>
      </c>
      <c r="I28" s="3" t="s">
        <v>165</v>
      </c>
    </row>
    <row r="29" spans="1:9" ht="14.5" x14ac:dyDescent="0.35">
      <c r="A29" s="4" t="s">
        <v>45</v>
      </c>
      <c r="B29" s="19" t="s">
        <v>187</v>
      </c>
      <c r="C29" s="19">
        <v>1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 t="s">
        <v>188</v>
      </c>
    </row>
    <row r="30" spans="1:9" ht="14.5" x14ac:dyDescent="0.35">
      <c r="A30" s="4" t="s">
        <v>46</v>
      </c>
      <c r="B30" s="19">
        <v>0</v>
      </c>
      <c r="C30" s="19">
        <v>2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 t="s">
        <v>165</v>
      </c>
    </row>
    <row r="31" spans="1:9" ht="14.5" x14ac:dyDescent="0.35">
      <c r="A31" s="4" t="s">
        <v>48</v>
      </c>
      <c r="B31" s="3" t="s">
        <v>189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 t="s">
        <v>165</v>
      </c>
    </row>
    <row r="32" spans="1:9" ht="14.5" x14ac:dyDescent="0.35">
      <c r="A32" s="4" t="s">
        <v>49</v>
      </c>
      <c r="B32" s="19" t="s">
        <v>190</v>
      </c>
      <c r="C32" s="19">
        <v>0</v>
      </c>
      <c r="D32" s="19">
        <v>0</v>
      </c>
      <c r="E32" s="19">
        <v>18</v>
      </c>
      <c r="F32" s="19">
        <v>7</v>
      </c>
      <c r="G32" s="19">
        <v>0</v>
      </c>
      <c r="H32" s="19">
        <v>0</v>
      </c>
      <c r="I32" s="19" t="s">
        <v>165</v>
      </c>
    </row>
    <row r="33" spans="1:9" ht="14.5" x14ac:dyDescent="0.35">
      <c r="A33" s="4" t="s">
        <v>51</v>
      </c>
      <c r="B33" s="19"/>
      <c r="C33" s="19"/>
      <c r="D33" s="19"/>
      <c r="E33" s="19"/>
      <c r="F33" s="19"/>
      <c r="G33" s="19"/>
      <c r="H33" s="19"/>
      <c r="I33" s="19"/>
    </row>
    <row r="34" spans="1:9" ht="14.5" x14ac:dyDescent="0.35">
      <c r="A34" s="4" t="s">
        <v>53</v>
      </c>
      <c r="B34" s="19" t="s">
        <v>191</v>
      </c>
      <c r="C34" s="19">
        <v>2</v>
      </c>
      <c r="D34" s="19">
        <v>2</v>
      </c>
      <c r="E34" s="19">
        <v>0</v>
      </c>
      <c r="F34" s="19">
        <v>0</v>
      </c>
      <c r="G34" s="19">
        <v>0</v>
      </c>
      <c r="H34" s="19">
        <v>0</v>
      </c>
      <c r="I34" s="19" t="s">
        <v>165</v>
      </c>
    </row>
    <row r="35" spans="1:9" ht="14.5" x14ac:dyDescent="0.35">
      <c r="A35" s="4" t="s">
        <v>55</v>
      </c>
      <c r="B35" s="19" t="s">
        <v>192</v>
      </c>
      <c r="C35" s="19">
        <v>2</v>
      </c>
      <c r="D35" s="19">
        <v>2</v>
      </c>
      <c r="E35" s="19">
        <v>0</v>
      </c>
      <c r="F35" s="19">
        <v>0</v>
      </c>
      <c r="G35" s="19">
        <v>0</v>
      </c>
      <c r="H35" s="19">
        <v>0</v>
      </c>
      <c r="I35" s="19" t="s">
        <v>165</v>
      </c>
    </row>
    <row r="36" spans="1:9" ht="14.5" x14ac:dyDescent="0.35">
      <c r="A36" s="4" t="s">
        <v>56</v>
      </c>
      <c r="B36" s="19" t="s">
        <v>193</v>
      </c>
      <c r="C36" s="19">
        <v>3</v>
      </c>
      <c r="D36" s="19">
        <v>2</v>
      </c>
      <c r="E36" s="19">
        <v>21</v>
      </c>
      <c r="F36" s="19">
        <v>9</v>
      </c>
      <c r="G36" s="19">
        <v>0</v>
      </c>
      <c r="H36" s="19">
        <v>0</v>
      </c>
      <c r="I36" s="19" t="s">
        <v>165</v>
      </c>
    </row>
    <row r="37" spans="1:9" ht="14.5" x14ac:dyDescent="0.35">
      <c r="A37" s="4" t="s">
        <v>57</v>
      </c>
      <c r="B37" s="8" t="s">
        <v>194</v>
      </c>
      <c r="C37" s="19">
        <v>2</v>
      </c>
      <c r="D37" s="19">
        <v>2</v>
      </c>
      <c r="E37" s="19">
        <v>0</v>
      </c>
      <c r="F37" s="19">
        <v>0</v>
      </c>
      <c r="G37" s="19">
        <v>0</v>
      </c>
      <c r="H37" s="19">
        <v>0</v>
      </c>
      <c r="I37" s="19" t="s">
        <v>165</v>
      </c>
    </row>
    <row r="38" spans="1:9" ht="14.5" x14ac:dyDescent="0.35">
      <c r="A38" s="4" t="s">
        <v>58</v>
      </c>
      <c r="B38" s="8" t="s">
        <v>195</v>
      </c>
      <c r="C38" s="19">
        <v>1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9" t="s">
        <v>165</v>
      </c>
    </row>
    <row r="39" spans="1:9" ht="14.5" x14ac:dyDescent="0.35">
      <c r="A39" s="4" t="s">
        <v>59</v>
      </c>
      <c r="B39" s="8" t="s">
        <v>196</v>
      </c>
      <c r="C39" s="19">
        <v>6</v>
      </c>
      <c r="D39" s="19">
        <v>1</v>
      </c>
      <c r="E39" s="19">
        <v>0</v>
      </c>
      <c r="F39" s="19">
        <v>0</v>
      </c>
      <c r="G39" s="19">
        <v>0</v>
      </c>
      <c r="H39" s="19">
        <v>0</v>
      </c>
      <c r="I39" s="19" t="s">
        <v>165</v>
      </c>
    </row>
    <row r="40" spans="1:9" ht="14.5" x14ac:dyDescent="0.35">
      <c r="A40" s="4" t="s">
        <v>60</v>
      </c>
      <c r="B40" s="19" t="s">
        <v>197</v>
      </c>
      <c r="C40" s="19">
        <v>30</v>
      </c>
      <c r="D40" s="19">
        <v>17</v>
      </c>
      <c r="E40" s="19">
        <v>0</v>
      </c>
      <c r="F40" s="19">
        <v>0</v>
      </c>
      <c r="G40" s="19">
        <v>0</v>
      </c>
      <c r="H40" s="19">
        <v>0</v>
      </c>
      <c r="I40" s="19" t="s">
        <v>165</v>
      </c>
    </row>
    <row r="41" spans="1:9" ht="14.5" x14ac:dyDescent="0.35">
      <c r="A41" s="4" t="s">
        <v>62</v>
      </c>
      <c r="B41" s="8" t="s">
        <v>198</v>
      </c>
      <c r="C41" s="19">
        <v>1</v>
      </c>
      <c r="D41" s="19">
        <v>1</v>
      </c>
      <c r="E41" s="19">
        <v>15</v>
      </c>
      <c r="F41" s="19">
        <v>6</v>
      </c>
      <c r="G41" s="19">
        <v>0</v>
      </c>
      <c r="H41" s="19">
        <v>0</v>
      </c>
      <c r="I41" s="19" t="s">
        <v>165</v>
      </c>
    </row>
    <row r="42" spans="1:9" ht="14.5" x14ac:dyDescent="0.35">
      <c r="A42" s="4" t="s">
        <v>63</v>
      </c>
      <c r="B42" s="19" t="s">
        <v>199</v>
      </c>
      <c r="C42" s="19">
        <v>2</v>
      </c>
      <c r="D42" s="19">
        <v>1</v>
      </c>
      <c r="E42" s="19">
        <v>0</v>
      </c>
      <c r="F42" s="19">
        <v>0</v>
      </c>
      <c r="G42" s="19">
        <v>0</v>
      </c>
      <c r="H42" s="19">
        <v>0</v>
      </c>
      <c r="I42" s="19" t="s">
        <v>165</v>
      </c>
    </row>
    <row r="43" spans="1:9" ht="14.5" x14ac:dyDescent="0.35">
      <c r="A43" s="4" t="s">
        <v>65</v>
      </c>
      <c r="B43" s="19"/>
      <c r="C43" s="19"/>
      <c r="D43" s="19"/>
      <c r="E43" s="19"/>
      <c r="F43" s="19"/>
      <c r="G43" s="19"/>
      <c r="H43" s="19"/>
      <c r="I43" s="19"/>
    </row>
    <row r="44" spans="1:9" ht="14.5" x14ac:dyDescent="0.35">
      <c r="A44" s="4" t="s">
        <v>66</v>
      </c>
      <c r="B44" s="19"/>
      <c r="C44" s="19"/>
      <c r="D44" s="19"/>
      <c r="E44" s="19"/>
      <c r="F44" s="19"/>
      <c r="G44" s="19"/>
      <c r="H44" s="19"/>
      <c r="I44" s="19"/>
    </row>
    <row r="45" spans="1:9" ht="14.5" x14ac:dyDescent="0.35">
      <c r="A45" s="20" t="s">
        <v>67</v>
      </c>
      <c r="B45" s="19" t="s">
        <v>200</v>
      </c>
      <c r="C45" s="19">
        <v>3</v>
      </c>
      <c r="D45" s="19">
        <v>2</v>
      </c>
      <c r="E45" s="19">
        <v>19</v>
      </c>
      <c r="F45" s="19">
        <v>5</v>
      </c>
      <c r="G45" s="19">
        <v>0</v>
      </c>
      <c r="H45" s="19">
        <v>0</v>
      </c>
      <c r="I45" s="19" t="s">
        <v>165</v>
      </c>
    </row>
    <row r="46" spans="1:9" ht="14.5" x14ac:dyDescent="0.35">
      <c r="A46" s="4" t="s">
        <v>68</v>
      </c>
      <c r="B46" s="19"/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 t="s">
        <v>188</v>
      </c>
    </row>
    <row r="47" spans="1:9" ht="14.5" x14ac:dyDescent="0.35">
      <c r="A47" s="4" t="s">
        <v>69</v>
      </c>
      <c r="B47" s="19" t="s">
        <v>201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 t="s">
        <v>165</v>
      </c>
    </row>
    <row r="48" spans="1:9" ht="14.5" x14ac:dyDescent="0.35">
      <c r="A48" s="4" t="s">
        <v>70</v>
      </c>
      <c r="B48" s="19" t="s">
        <v>202</v>
      </c>
      <c r="C48" s="19">
        <v>3</v>
      </c>
      <c r="D48" s="19">
        <v>1</v>
      </c>
      <c r="E48" s="19">
        <v>0</v>
      </c>
      <c r="F48" s="19">
        <v>0</v>
      </c>
      <c r="G48" s="19">
        <v>0</v>
      </c>
      <c r="H48" s="19">
        <v>0</v>
      </c>
      <c r="I48" s="19" t="s">
        <v>188</v>
      </c>
    </row>
    <row r="49" spans="1:9" ht="14.5" x14ac:dyDescent="0.35">
      <c r="A49" s="4" t="s">
        <v>71</v>
      </c>
      <c r="B49" s="19" t="s">
        <v>203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 t="s">
        <v>165</v>
      </c>
    </row>
    <row r="50" spans="1:9" ht="14.5" x14ac:dyDescent="0.35">
      <c r="A50" s="4" t="s">
        <v>72</v>
      </c>
      <c r="B50" s="20"/>
      <c r="C50" s="20">
        <v>3</v>
      </c>
      <c r="D50" s="20">
        <v>1</v>
      </c>
      <c r="E50" s="20">
        <v>19</v>
      </c>
      <c r="F50" s="20">
        <v>3</v>
      </c>
      <c r="G50" s="20">
        <v>0</v>
      </c>
      <c r="H50" s="20">
        <v>0</v>
      </c>
      <c r="I50" s="20" t="s">
        <v>165</v>
      </c>
    </row>
    <row r="51" spans="1:9" ht="14.5" x14ac:dyDescent="0.35">
      <c r="A51" s="4" t="s">
        <v>73</v>
      </c>
      <c r="B51" s="20"/>
      <c r="C51" s="21">
        <v>43134</v>
      </c>
      <c r="D51" s="20">
        <v>1</v>
      </c>
      <c r="E51" s="20">
        <v>0</v>
      </c>
      <c r="F51" s="20">
        <v>0</v>
      </c>
      <c r="G51" s="20">
        <v>0</v>
      </c>
      <c r="H51" s="20">
        <v>0</v>
      </c>
      <c r="I51" s="20" t="s">
        <v>188</v>
      </c>
    </row>
    <row r="52" spans="1:9" ht="14.5" x14ac:dyDescent="0.35">
      <c r="A52" s="17" t="s">
        <v>0</v>
      </c>
      <c r="B52" s="17"/>
      <c r="C52" s="17" t="s">
        <v>156</v>
      </c>
      <c r="D52" s="17" t="s">
        <v>157</v>
      </c>
      <c r="E52" s="17" t="s">
        <v>158</v>
      </c>
      <c r="F52" s="17" t="s">
        <v>159</v>
      </c>
      <c r="G52" s="17" t="s">
        <v>160</v>
      </c>
      <c r="H52" s="17" t="s">
        <v>161</v>
      </c>
      <c r="I52" s="17" t="s">
        <v>162</v>
      </c>
    </row>
    <row r="53" spans="1:9" ht="14.5" x14ac:dyDescent="0.35">
      <c r="A53" s="4" t="s">
        <v>75</v>
      </c>
      <c r="B53" s="4">
        <v>0</v>
      </c>
      <c r="C53" s="4">
        <v>2</v>
      </c>
      <c r="D53" s="4">
        <v>3</v>
      </c>
      <c r="E53" s="4">
        <v>3</v>
      </c>
      <c r="F53" s="4">
        <v>3</v>
      </c>
      <c r="G53" s="4">
        <v>0</v>
      </c>
      <c r="H53" s="4">
        <v>0</v>
      </c>
      <c r="I53" s="4" t="s">
        <v>165</v>
      </c>
    </row>
    <row r="54" spans="1:9" ht="14.5" x14ac:dyDescent="0.35">
      <c r="A54" s="4" t="s">
        <v>76</v>
      </c>
      <c r="B54" s="4">
        <v>0</v>
      </c>
      <c r="C54" s="4">
        <v>2</v>
      </c>
      <c r="D54" s="22">
        <v>42405</v>
      </c>
      <c r="E54" s="4">
        <v>0</v>
      </c>
      <c r="F54" s="4">
        <v>0</v>
      </c>
      <c r="G54" s="4">
        <v>0</v>
      </c>
      <c r="H54" s="4">
        <v>0</v>
      </c>
      <c r="I54" s="4" t="s">
        <v>165</v>
      </c>
    </row>
    <row r="55" spans="1:9" ht="14.5" x14ac:dyDescent="0.35">
      <c r="A55" s="4" t="s">
        <v>77</v>
      </c>
      <c r="B55" s="4">
        <v>0</v>
      </c>
      <c r="C55" s="23">
        <v>42371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 t="s">
        <v>165</v>
      </c>
    </row>
    <row r="56" spans="1:9" ht="14.5" x14ac:dyDescent="0.35">
      <c r="A56" s="4" t="s">
        <v>78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 t="s">
        <v>165</v>
      </c>
    </row>
    <row r="57" spans="1:9" ht="14.5" x14ac:dyDescent="0.35">
      <c r="A57" s="4" t="s">
        <v>79</v>
      </c>
      <c r="B57" s="4">
        <v>0</v>
      </c>
      <c r="C57" s="4" t="s">
        <v>204</v>
      </c>
      <c r="D57" s="4">
        <v>0</v>
      </c>
      <c r="E57" s="4">
        <v>10</v>
      </c>
      <c r="F57" s="4">
        <v>6</v>
      </c>
      <c r="G57" s="4">
        <v>0</v>
      </c>
      <c r="H57" s="4">
        <v>0</v>
      </c>
      <c r="I57" s="4" t="s">
        <v>165</v>
      </c>
    </row>
    <row r="58" spans="1:9" ht="14.5" x14ac:dyDescent="0.35">
      <c r="A58" s="4" t="s">
        <v>80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 t="s">
        <v>165</v>
      </c>
    </row>
    <row r="59" spans="1:9" ht="14.5" x14ac:dyDescent="0.35">
      <c r="A59" s="4" t="s">
        <v>81</v>
      </c>
      <c r="B59" s="4">
        <v>0</v>
      </c>
      <c r="C59" s="4">
        <v>2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  <c r="I59" s="4" t="s">
        <v>165</v>
      </c>
    </row>
    <row r="60" spans="1:9" ht="14.5" x14ac:dyDescent="0.35">
      <c r="A60" s="4" t="s">
        <v>82</v>
      </c>
      <c r="B60" s="4">
        <v>0</v>
      </c>
      <c r="C60" s="10">
        <v>0</v>
      </c>
      <c r="D60" s="4">
        <v>0</v>
      </c>
      <c r="E60" s="4">
        <v>4</v>
      </c>
      <c r="F60" s="4">
        <v>4</v>
      </c>
      <c r="G60" s="10">
        <v>0</v>
      </c>
      <c r="H60" s="4">
        <v>0</v>
      </c>
      <c r="I60" s="10" t="s">
        <v>165</v>
      </c>
    </row>
    <row r="61" spans="1:9" ht="14.5" x14ac:dyDescent="0.35">
      <c r="A61" s="4" t="s">
        <v>83</v>
      </c>
      <c r="B61" s="4">
        <v>0</v>
      </c>
      <c r="C61" s="10">
        <v>1</v>
      </c>
      <c r="D61" s="4">
        <v>1</v>
      </c>
      <c r="E61" s="4">
        <v>0</v>
      </c>
      <c r="F61" s="4">
        <v>0</v>
      </c>
      <c r="G61" s="10">
        <v>0</v>
      </c>
      <c r="H61" s="4">
        <v>0</v>
      </c>
      <c r="I61" s="10" t="s">
        <v>170</v>
      </c>
    </row>
    <row r="62" spans="1:9" ht="14.5" x14ac:dyDescent="0.35">
      <c r="A62" s="4" t="s">
        <v>84</v>
      </c>
      <c r="B62" s="4">
        <v>0</v>
      </c>
      <c r="C62" s="10">
        <v>0</v>
      </c>
      <c r="D62" s="4">
        <v>0</v>
      </c>
      <c r="E62" s="4">
        <v>0</v>
      </c>
      <c r="F62" s="4">
        <v>0</v>
      </c>
      <c r="G62" s="10">
        <v>0</v>
      </c>
      <c r="H62" s="4">
        <v>0</v>
      </c>
      <c r="I62" s="10" t="s">
        <v>165</v>
      </c>
    </row>
    <row r="63" spans="1:9" ht="14.5" x14ac:dyDescent="0.35">
      <c r="A63" s="4" t="s">
        <v>85</v>
      </c>
      <c r="B63" s="4">
        <v>0</v>
      </c>
      <c r="C63" s="10">
        <v>1</v>
      </c>
      <c r="D63" s="4">
        <v>1</v>
      </c>
      <c r="E63" s="4">
        <v>0</v>
      </c>
      <c r="F63" s="4">
        <v>0</v>
      </c>
      <c r="G63" s="10">
        <v>0</v>
      </c>
      <c r="H63" s="4">
        <v>0</v>
      </c>
      <c r="I63" s="10" t="s">
        <v>165</v>
      </c>
    </row>
    <row r="64" spans="1:9" ht="14.5" x14ac:dyDescent="0.35">
      <c r="A64" s="4" t="s">
        <v>86</v>
      </c>
      <c r="B64" s="4">
        <v>0</v>
      </c>
      <c r="C64" s="4">
        <v>0</v>
      </c>
      <c r="D64" s="4">
        <v>1</v>
      </c>
      <c r="E64" s="4">
        <v>0</v>
      </c>
      <c r="F64" s="4">
        <v>0</v>
      </c>
      <c r="G64" s="4">
        <v>0</v>
      </c>
      <c r="H64" s="10">
        <v>0</v>
      </c>
      <c r="I64" s="4" t="s">
        <v>165</v>
      </c>
    </row>
    <row r="65" spans="1:14" ht="14.5" x14ac:dyDescent="0.35">
      <c r="A65" s="4" t="s">
        <v>87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10">
        <v>0</v>
      </c>
      <c r="I65" s="4" t="s">
        <v>165</v>
      </c>
    </row>
    <row r="66" spans="1:14" ht="14.5" x14ac:dyDescent="0.35">
      <c r="A66" s="4" t="s">
        <v>88</v>
      </c>
      <c r="B66" s="4"/>
      <c r="C66" s="4"/>
      <c r="D66" s="4"/>
      <c r="E66" s="4"/>
      <c r="F66" s="4"/>
      <c r="G66" s="4"/>
      <c r="H66" s="10"/>
      <c r="I66" s="4"/>
    </row>
    <row r="67" spans="1:14" ht="14.5" x14ac:dyDescent="0.35">
      <c r="A67" s="4" t="s">
        <v>89</v>
      </c>
      <c r="B67" s="4">
        <v>0</v>
      </c>
      <c r="C67" s="10">
        <v>2</v>
      </c>
      <c r="D67" s="4">
        <v>0</v>
      </c>
      <c r="E67" s="4">
        <v>10</v>
      </c>
      <c r="F67" s="4">
        <v>5</v>
      </c>
      <c r="G67" s="10">
        <v>0</v>
      </c>
      <c r="H67" s="4">
        <v>0</v>
      </c>
      <c r="I67" s="10" t="s">
        <v>165</v>
      </c>
    </row>
    <row r="68" spans="1:14" ht="14.5" x14ac:dyDescent="0.35">
      <c r="A68" s="4" t="s">
        <v>90</v>
      </c>
      <c r="B68" s="4">
        <v>0</v>
      </c>
      <c r="C68" s="10">
        <v>4</v>
      </c>
      <c r="D68" s="4">
        <v>4</v>
      </c>
      <c r="E68" s="4">
        <v>0</v>
      </c>
      <c r="F68" s="4">
        <v>0</v>
      </c>
      <c r="G68" s="10">
        <v>0</v>
      </c>
      <c r="H68" s="4">
        <v>0</v>
      </c>
      <c r="I68" s="10" t="s">
        <v>170</v>
      </c>
    </row>
    <row r="69" spans="1:14" ht="14.5" x14ac:dyDescent="0.35">
      <c r="A69" s="4" t="s">
        <v>91</v>
      </c>
      <c r="B69" s="4">
        <v>0</v>
      </c>
      <c r="C69" s="4">
        <v>2</v>
      </c>
      <c r="D69" s="4">
        <v>0</v>
      </c>
      <c r="E69" s="4">
        <v>0</v>
      </c>
      <c r="F69" s="4">
        <v>0</v>
      </c>
      <c r="G69" s="4">
        <v>0</v>
      </c>
      <c r="H69" s="10">
        <v>0</v>
      </c>
      <c r="I69" s="4" t="s">
        <v>165</v>
      </c>
    </row>
    <row r="70" spans="1:14" ht="14.5" x14ac:dyDescent="0.35">
      <c r="A70" s="4" t="s">
        <v>92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10">
        <v>0</v>
      </c>
      <c r="I70" s="4" t="s">
        <v>165</v>
      </c>
    </row>
    <row r="71" spans="1:14" ht="14.5" x14ac:dyDescent="0.35">
      <c r="A71" s="4" t="s">
        <v>93</v>
      </c>
      <c r="B71" s="4">
        <v>0</v>
      </c>
      <c r="C71" s="10">
        <v>3</v>
      </c>
      <c r="D71" s="4">
        <v>1</v>
      </c>
      <c r="E71" s="4">
        <v>20</v>
      </c>
      <c r="F71" s="4">
        <v>6</v>
      </c>
      <c r="G71" s="10">
        <v>0</v>
      </c>
      <c r="H71" s="4">
        <v>0</v>
      </c>
      <c r="I71" s="10" t="s">
        <v>165</v>
      </c>
    </row>
    <row r="72" spans="1:14" ht="14.5" x14ac:dyDescent="0.35">
      <c r="A72" s="4" t="s">
        <v>95</v>
      </c>
      <c r="B72" s="4">
        <v>0</v>
      </c>
      <c r="C72" s="10">
        <v>5</v>
      </c>
      <c r="D72" s="4">
        <v>3</v>
      </c>
      <c r="E72" s="4">
        <v>25</v>
      </c>
      <c r="F72" s="4">
        <v>5</v>
      </c>
      <c r="G72" s="10">
        <v>3</v>
      </c>
      <c r="H72" s="4">
        <v>0</v>
      </c>
      <c r="I72" s="10" t="s">
        <v>165</v>
      </c>
    </row>
    <row r="73" spans="1:14" ht="14.5" x14ac:dyDescent="0.35">
      <c r="A73" s="4" t="s">
        <v>96</v>
      </c>
      <c r="B73" s="4">
        <v>0</v>
      </c>
      <c r="C73" s="10">
        <v>2</v>
      </c>
      <c r="D73" s="4">
        <v>2</v>
      </c>
      <c r="E73" s="4">
        <v>20</v>
      </c>
      <c r="F73" s="4">
        <v>10</v>
      </c>
      <c r="G73" s="10">
        <v>0</v>
      </c>
      <c r="H73" s="4">
        <v>0</v>
      </c>
      <c r="I73" s="10" t="s">
        <v>165</v>
      </c>
      <c r="J73" s="10"/>
      <c r="K73" s="10"/>
      <c r="L73" s="10"/>
      <c r="M73" s="10"/>
      <c r="N73" s="10"/>
    </row>
    <row r="74" spans="1:14" ht="14.5" x14ac:dyDescent="0.35">
      <c r="A74" s="4" t="s">
        <v>97</v>
      </c>
      <c r="B74" s="4">
        <v>0</v>
      </c>
      <c r="C74" s="10">
        <v>1</v>
      </c>
      <c r="D74" s="4">
        <v>0</v>
      </c>
      <c r="E74" s="4">
        <v>20</v>
      </c>
      <c r="F74" s="4">
        <v>10</v>
      </c>
      <c r="G74" s="10">
        <v>0</v>
      </c>
      <c r="H74" s="4">
        <v>0</v>
      </c>
      <c r="I74" s="10" t="s">
        <v>165</v>
      </c>
      <c r="J74" s="10"/>
      <c r="K74" s="10"/>
      <c r="L74" s="10"/>
      <c r="M74" s="10"/>
      <c r="N74" s="10"/>
    </row>
    <row r="75" spans="1:14" ht="14.5" x14ac:dyDescent="0.35">
      <c r="A75" s="4" t="s">
        <v>98</v>
      </c>
      <c r="B75" s="4">
        <v>0</v>
      </c>
      <c r="C75" s="10">
        <v>4</v>
      </c>
      <c r="D75" s="4">
        <v>3</v>
      </c>
      <c r="E75" s="23">
        <v>42862</v>
      </c>
      <c r="F75" s="4">
        <v>0</v>
      </c>
      <c r="G75" s="10">
        <v>0</v>
      </c>
      <c r="H75" s="4">
        <v>0</v>
      </c>
      <c r="I75" s="10" t="s">
        <v>165</v>
      </c>
      <c r="J75" s="10"/>
      <c r="K75" s="10"/>
      <c r="L75" s="10"/>
      <c r="M75" s="10"/>
      <c r="N75" s="10"/>
    </row>
    <row r="76" spans="1:14" ht="14.5" x14ac:dyDescent="0.35">
      <c r="A76" s="10" t="s">
        <v>99</v>
      </c>
      <c r="B76" s="4">
        <v>0</v>
      </c>
      <c r="C76" s="10">
        <v>3</v>
      </c>
      <c r="D76" s="4">
        <v>2</v>
      </c>
      <c r="E76" s="4">
        <v>6</v>
      </c>
      <c r="F76" s="4">
        <v>4</v>
      </c>
      <c r="G76" s="10">
        <v>0</v>
      </c>
      <c r="H76" s="4">
        <v>0</v>
      </c>
      <c r="I76" s="10" t="s">
        <v>170</v>
      </c>
    </row>
    <row r="77" spans="1:14" ht="14.5" x14ac:dyDescent="0.35">
      <c r="A77" s="10" t="s">
        <v>100</v>
      </c>
      <c r="B77" s="4">
        <v>0</v>
      </c>
      <c r="C77" s="10">
        <v>2</v>
      </c>
      <c r="D77" s="4">
        <v>1</v>
      </c>
      <c r="E77" s="4">
        <v>0</v>
      </c>
      <c r="F77" s="4">
        <v>0</v>
      </c>
      <c r="G77" s="10">
        <v>0</v>
      </c>
      <c r="H77" s="4">
        <v>0</v>
      </c>
      <c r="I77" s="10" t="s">
        <v>165</v>
      </c>
    </row>
    <row r="78" spans="1:14" ht="14.5" x14ac:dyDescent="0.35">
      <c r="A78" s="10" t="s">
        <v>101</v>
      </c>
      <c r="B78" s="4">
        <v>0</v>
      </c>
      <c r="C78" s="10">
        <v>4</v>
      </c>
      <c r="D78" s="4">
        <v>4</v>
      </c>
      <c r="E78" s="4">
        <v>1</v>
      </c>
      <c r="F78" s="4">
        <v>1</v>
      </c>
      <c r="G78" s="10">
        <v>0</v>
      </c>
      <c r="H78" s="4">
        <v>0</v>
      </c>
      <c r="I78" s="10" t="s">
        <v>165</v>
      </c>
    </row>
    <row r="79" spans="1:14" ht="14.5" x14ac:dyDescent="0.35">
      <c r="A79" s="10" t="s">
        <v>102</v>
      </c>
      <c r="B79" s="4">
        <v>0</v>
      </c>
      <c r="C79" s="10">
        <v>0</v>
      </c>
      <c r="D79" s="4">
        <v>0</v>
      </c>
      <c r="E79" s="4">
        <v>0</v>
      </c>
      <c r="F79" s="4">
        <v>0</v>
      </c>
      <c r="G79" s="10">
        <v>0</v>
      </c>
      <c r="H79" s="4">
        <v>0</v>
      </c>
      <c r="I79" s="10" t="s">
        <v>165</v>
      </c>
    </row>
    <row r="80" spans="1:14" ht="14.5" x14ac:dyDescent="0.35">
      <c r="A80" s="10" t="s">
        <v>103</v>
      </c>
      <c r="B80" s="4">
        <v>0</v>
      </c>
      <c r="C80" s="10">
        <v>0</v>
      </c>
      <c r="D80" s="4">
        <v>0</v>
      </c>
      <c r="E80" s="4">
        <v>0</v>
      </c>
      <c r="F80" s="4">
        <v>0</v>
      </c>
      <c r="G80" s="10">
        <v>0</v>
      </c>
      <c r="H80" s="4">
        <v>0</v>
      </c>
      <c r="I80" s="10" t="s">
        <v>165</v>
      </c>
    </row>
    <row r="81" spans="1:9" ht="14.5" x14ac:dyDescent="0.35">
      <c r="A81" s="10" t="s">
        <v>104</v>
      </c>
      <c r="B81" s="4">
        <v>0</v>
      </c>
      <c r="C81" s="10">
        <v>3</v>
      </c>
      <c r="D81" s="4">
        <v>2</v>
      </c>
      <c r="E81" s="4">
        <v>0</v>
      </c>
      <c r="F81" s="4">
        <v>0</v>
      </c>
      <c r="G81" s="10">
        <v>0</v>
      </c>
      <c r="H81" s="4">
        <v>0</v>
      </c>
      <c r="I81" s="10" t="s">
        <v>165</v>
      </c>
    </row>
    <row r="82" spans="1:9" ht="14.5" x14ac:dyDescent="0.35">
      <c r="A82" s="10" t="s">
        <v>105</v>
      </c>
      <c r="B82" s="4">
        <v>0</v>
      </c>
      <c r="C82" s="10">
        <v>0</v>
      </c>
      <c r="D82" s="4">
        <v>0</v>
      </c>
      <c r="E82" s="4">
        <v>0</v>
      </c>
      <c r="F82" s="4">
        <v>0</v>
      </c>
      <c r="G82" s="10">
        <v>0</v>
      </c>
      <c r="H82" s="4">
        <v>0</v>
      </c>
      <c r="I82" s="10" t="s">
        <v>165</v>
      </c>
    </row>
    <row r="83" spans="1:9" ht="14.5" x14ac:dyDescent="0.35">
      <c r="A83" s="10" t="s">
        <v>106</v>
      </c>
      <c r="B83" s="4">
        <v>0</v>
      </c>
      <c r="C83" s="10">
        <v>0</v>
      </c>
      <c r="D83" s="4">
        <v>0</v>
      </c>
      <c r="E83" s="4">
        <v>0</v>
      </c>
      <c r="F83" s="4">
        <v>0</v>
      </c>
      <c r="G83" s="10">
        <v>0</v>
      </c>
      <c r="H83" s="4">
        <v>0</v>
      </c>
      <c r="I83" s="10" t="s">
        <v>165</v>
      </c>
    </row>
    <row r="84" spans="1:9" ht="14.5" x14ac:dyDescent="0.35">
      <c r="A84" s="10" t="s">
        <v>107</v>
      </c>
      <c r="B84" s="4">
        <v>0</v>
      </c>
      <c r="C84" s="10">
        <v>0</v>
      </c>
      <c r="D84" s="4">
        <v>0</v>
      </c>
      <c r="E84" s="4">
        <v>19</v>
      </c>
      <c r="F84" s="4">
        <v>10</v>
      </c>
      <c r="G84" s="10">
        <v>0</v>
      </c>
      <c r="H84" s="4">
        <v>0</v>
      </c>
      <c r="I84" s="10" t="s">
        <v>165</v>
      </c>
    </row>
    <row r="85" spans="1:9" ht="14.5" x14ac:dyDescent="0.35">
      <c r="A85" s="10" t="s">
        <v>108</v>
      </c>
      <c r="B85" s="4">
        <v>0</v>
      </c>
      <c r="C85" s="10">
        <v>2</v>
      </c>
      <c r="D85" s="4">
        <v>0</v>
      </c>
      <c r="E85" s="4">
        <v>0</v>
      </c>
      <c r="F85" s="4">
        <v>0</v>
      </c>
      <c r="G85" s="10">
        <v>0</v>
      </c>
      <c r="H85" s="4">
        <v>0</v>
      </c>
      <c r="I85" s="10" t="s">
        <v>188</v>
      </c>
    </row>
    <row r="86" spans="1:9" ht="14.5" x14ac:dyDescent="0.35">
      <c r="A86" s="10" t="s">
        <v>109</v>
      </c>
      <c r="B86" s="4">
        <v>0</v>
      </c>
      <c r="C86" s="10">
        <v>2</v>
      </c>
      <c r="D86" s="4">
        <v>1</v>
      </c>
      <c r="E86" s="4">
        <v>12</v>
      </c>
      <c r="F86" s="4">
        <v>6</v>
      </c>
      <c r="G86" s="10">
        <v>0</v>
      </c>
      <c r="H86" s="4">
        <v>0</v>
      </c>
      <c r="I86" s="10" t="s">
        <v>165</v>
      </c>
    </row>
    <row r="87" spans="1:9" ht="14.5" x14ac:dyDescent="0.35">
      <c r="A87" s="10" t="s">
        <v>110</v>
      </c>
      <c r="B87" s="4">
        <v>0</v>
      </c>
      <c r="C87" s="10">
        <v>0</v>
      </c>
      <c r="D87" s="4">
        <v>0</v>
      </c>
      <c r="E87" s="4">
        <v>20</v>
      </c>
      <c r="F87" s="4">
        <v>10</v>
      </c>
      <c r="G87" s="10">
        <v>0</v>
      </c>
      <c r="H87" s="4">
        <v>0</v>
      </c>
      <c r="I87" s="10" t="s">
        <v>188</v>
      </c>
    </row>
    <row r="88" spans="1:9" ht="14.5" x14ac:dyDescent="0.35">
      <c r="A88" s="10" t="s">
        <v>111</v>
      </c>
      <c r="B88" s="4">
        <v>0</v>
      </c>
      <c r="C88" s="10">
        <v>0</v>
      </c>
      <c r="D88" s="4">
        <v>0</v>
      </c>
      <c r="E88" s="4">
        <v>0</v>
      </c>
      <c r="F88" s="4">
        <v>0</v>
      </c>
      <c r="G88" s="10">
        <v>0</v>
      </c>
      <c r="H88" s="4">
        <v>0</v>
      </c>
      <c r="I88" s="10" t="s">
        <v>165</v>
      </c>
    </row>
    <row r="89" spans="1:9" ht="14.5" x14ac:dyDescent="0.35">
      <c r="A89" s="10" t="s">
        <v>112</v>
      </c>
      <c r="B89" s="4">
        <v>0</v>
      </c>
      <c r="C89" s="10">
        <v>0</v>
      </c>
      <c r="D89" s="4">
        <v>0</v>
      </c>
      <c r="E89" s="4">
        <v>0</v>
      </c>
      <c r="F89" s="4">
        <v>0</v>
      </c>
      <c r="G89" s="10">
        <v>0</v>
      </c>
      <c r="H89" s="4">
        <v>0</v>
      </c>
      <c r="I89" s="10" t="s">
        <v>165</v>
      </c>
    </row>
    <row r="90" spans="1:9" ht="14.5" x14ac:dyDescent="0.35">
      <c r="A90" s="10" t="s">
        <v>113</v>
      </c>
      <c r="B90" s="4">
        <v>0</v>
      </c>
      <c r="C90" s="10">
        <v>3</v>
      </c>
      <c r="D90" s="4">
        <v>2</v>
      </c>
      <c r="E90" s="4">
        <v>0</v>
      </c>
      <c r="F90" s="4">
        <v>0</v>
      </c>
      <c r="G90" s="10">
        <v>0</v>
      </c>
      <c r="H90" s="4">
        <v>0</v>
      </c>
      <c r="I90" s="10" t="s">
        <v>165</v>
      </c>
    </row>
    <row r="91" spans="1:9" ht="14.5" x14ac:dyDescent="0.35">
      <c r="A91" s="10" t="s">
        <v>114</v>
      </c>
      <c r="B91" s="4"/>
      <c r="D91" s="4"/>
      <c r="E91" s="4"/>
      <c r="F91" s="4"/>
      <c r="H91" s="4"/>
    </row>
    <row r="92" spans="1:9" ht="14.5" x14ac:dyDescent="0.35">
      <c r="A92" s="10" t="s">
        <v>115</v>
      </c>
      <c r="B92" s="4">
        <v>0</v>
      </c>
      <c r="C92" s="10">
        <v>5</v>
      </c>
      <c r="D92" s="4">
        <v>5</v>
      </c>
      <c r="E92" s="4">
        <v>0</v>
      </c>
      <c r="F92" s="4">
        <v>0</v>
      </c>
      <c r="G92" s="10">
        <v>0</v>
      </c>
      <c r="H92" s="4">
        <v>0</v>
      </c>
      <c r="I92" s="10" t="s">
        <v>188</v>
      </c>
    </row>
    <row r="93" spans="1:9" ht="14.5" x14ac:dyDescent="0.35">
      <c r="A93" s="10" t="s">
        <v>116</v>
      </c>
      <c r="B93" s="4"/>
      <c r="D93" s="4"/>
      <c r="E93" s="4"/>
      <c r="F93" s="4"/>
      <c r="H93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51"/>
  <sheetViews>
    <sheetView zoomScaleNormal="100" workbookViewId="0">
      <selection activeCell="F28" sqref="F28"/>
    </sheetView>
  </sheetViews>
  <sheetFormatPr defaultRowHeight="14" x14ac:dyDescent="0.3"/>
  <cols>
    <col min="1" max="35" width="11" style="1" customWidth="1"/>
    <col min="36" max="1025" width="11.54296875" style="1"/>
  </cols>
  <sheetData>
    <row r="1" spans="1:38" ht="14.5" x14ac:dyDescent="0.35">
      <c r="A1" s="24" t="s">
        <v>0</v>
      </c>
      <c r="B1" s="24" t="s">
        <v>205</v>
      </c>
      <c r="C1" s="24" t="s">
        <v>206</v>
      </c>
      <c r="D1" s="24" t="s">
        <v>207</v>
      </c>
      <c r="E1" s="24" t="s">
        <v>208</v>
      </c>
      <c r="F1" s="24" t="s">
        <v>209</v>
      </c>
      <c r="G1" s="24" t="s">
        <v>210</v>
      </c>
      <c r="H1" s="24" t="s">
        <v>211</v>
      </c>
      <c r="I1" s="24" t="s">
        <v>212</v>
      </c>
      <c r="J1" s="24" t="s">
        <v>213</v>
      </c>
      <c r="K1" s="24" t="s">
        <v>214</v>
      </c>
      <c r="L1" s="24" t="s">
        <v>215</v>
      </c>
      <c r="M1" s="24" t="s">
        <v>216</v>
      </c>
      <c r="N1" s="24" t="s">
        <v>217</v>
      </c>
      <c r="O1" s="24" t="s">
        <v>218</v>
      </c>
      <c r="P1" s="24" t="s">
        <v>219</v>
      </c>
      <c r="Q1" s="24" t="s">
        <v>220</v>
      </c>
      <c r="R1" s="24" t="s">
        <v>221</v>
      </c>
      <c r="S1" s="24" t="s">
        <v>222</v>
      </c>
      <c r="T1" s="24" t="s">
        <v>223</v>
      </c>
      <c r="U1" s="24" t="s">
        <v>224</v>
      </c>
      <c r="V1" s="24" t="s">
        <v>225</v>
      </c>
      <c r="W1" s="24" t="s">
        <v>226</v>
      </c>
      <c r="X1" s="24" t="s">
        <v>227</v>
      </c>
      <c r="Y1" s="24" t="s">
        <v>228</v>
      </c>
      <c r="Z1" s="24" t="s">
        <v>229</v>
      </c>
      <c r="AA1" s="24" t="s">
        <v>230</v>
      </c>
      <c r="AB1" s="24" t="s">
        <v>231</v>
      </c>
      <c r="AC1" s="24" t="s">
        <v>232</v>
      </c>
      <c r="AD1" s="24" t="s">
        <v>233</v>
      </c>
      <c r="AE1" s="24" t="s">
        <v>234</v>
      </c>
      <c r="AF1" s="24" t="s">
        <v>235</v>
      </c>
      <c r="AG1" s="25" t="s">
        <v>236</v>
      </c>
      <c r="AH1" s="25" t="s">
        <v>237</v>
      </c>
      <c r="AI1" s="25" t="s">
        <v>238</v>
      </c>
    </row>
    <row r="2" spans="1:38" ht="14.5" x14ac:dyDescent="0.35">
      <c r="A2" s="3" t="s">
        <v>8</v>
      </c>
      <c r="B2" s="7">
        <v>2</v>
      </c>
      <c r="C2" s="7">
        <v>4</v>
      </c>
      <c r="D2" s="7">
        <v>1</v>
      </c>
      <c r="E2" s="7">
        <v>3</v>
      </c>
      <c r="F2" s="7">
        <v>1</v>
      </c>
      <c r="G2" s="7">
        <v>3</v>
      </c>
      <c r="H2" s="7">
        <v>1</v>
      </c>
      <c r="I2" s="7">
        <v>4</v>
      </c>
      <c r="J2" s="7">
        <v>3</v>
      </c>
      <c r="K2" s="7">
        <v>3</v>
      </c>
      <c r="L2" s="7">
        <v>3</v>
      </c>
      <c r="M2" s="7">
        <v>5</v>
      </c>
      <c r="N2" s="7">
        <v>4</v>
      </c>
      <c r="O2" s="7">
        <v>2</v>
      </c>
      <c r="P2" s="7">
        <v>1</v>
      </c>
      <c r="Q2" s="7">
        <v>2</v>
      </c>
      <c r="R2" s="7">
        <v>1</v>
      </c>
      <c r="S2" s="7">
        <v>3</v>
      </c>
      <c r="T2" s="7">
        <v>2</v>
      </c>
      <c r="U2" s="7">
        <v>2</v>
      </c>
      <c r="V2" s="7">
        <v>3</v>
      </c>
      <c r="W2" s="7">
        <v>1</v>
      </c>
      <c r="X2" s="7">
        <v>2</v>
      </c>
      <c r="Y2" s="7">
        <v>1</v>
      </c>
      <c r="Z2" s="7">
        <v>3</v>
      </c>
      <c r="AA2" s="7">
        <v>6</v>
      </c>
      <c r="AB2" s="7">
        <v>2</v>
      </c>
      <c r="AC2" s="7">
        <v>1</v>
      </c>
      <c r="AD2" s="7">
        <v>1</v>
      </c>
      <c r="AE2" s="10">
        <v>2</v>
      </c>
      <c r="AF2" s="1">
        <f t="shared" ref="AF2:AF25" si="0">SUM(B2:AE2)</f>
        <v>72</v>
      </c>
      <c r="AG2" s="1">
        <f t="shared" ref="AG2:AG25" si="1">SUM(B2:H2)</f>
        <v>15</v>
      </c>
      <c r="AH2" s="1">
        <f t="shared" ref="AH2:AH25" si="2">SUM(I2:O2)</f>
        <v>24</v>
      </c>
      <c r="AI2" s="1">
        <f t="shared" ref="AI2:AI25" si="3">SUM(P2:AE2)</f>
        <v>33</v>
      </c>
    </row>
    <row r="3" spans="1:38" ht="14.5" x14ac:dyDescent="0.35">
      <c r="A3" s="3" t="s">
        <v>11</v>
      </c>
      <c r="B3" s="3">
        <v>1</v>
      </c>
      <c r="C3" s="3">
        <v>1</v>
      </c>
      <c r="D3" s="3">
        <v>1</v>
      </c>
      <c r="E3" s="3">
        <v>1</v>
      </c>
      <c r="F3" s="3">
        <v>3</v>
      </c>
      <c r="G3" s="3">
        <v>2</v>
      </c>
      <c r="H3" s="3">
        <v>1</v>
      </c>
      <c r="I3" s="3">
        <v>4</v>
      </c>
      <c r="J3" s="3">
        <v>4</v>
      </c>
      <c r="K3" s="3">
        <v>3</v>
      </c>
      <c r="L3" s="3">
        <v>4</v>
      </c>
      <c r="M3" s="3">
        <v>1</v>
      </c>
      <c r="N3" s="3">
        <v>3</v>
      </c>
      <c r="O3" s="3">
        <v>2</v>
      </c>
      <c r="P3" s="3">
        <v>1</v>
      </c>
      <c r="Q3" s="3">
        <v>2</v>
      </c>
      <c r="R3" s="3">
        <v>1</v>
      </c>
      <c r="S3" s="3">
        <v>3</v>
      </c>
      <c r="T3" s="3">
        <v>3</v>
      </c>
      <c r="U3" s="3">
        <v>1</v>
      </c>
      <c r="V3" s="3">
        <v>2</v>
      </c>
      <c r="W3" s="3">
        <v>1</v>
      </c>
      <c r="X3" s="3">
        <v>3</v>
      </c>
      <c r="Y3" s="3">
        <v>1</v>
      </c>
      <c r="Z3" s="3">
        <v>2</v>
      </c>
      <c r="AA3" s="3">
        <v>2</v>
      </c>
      <c r="AB3" s="3">
        <v>1</v>
      </c>
      <c r="AC3" s="3">
        <v>1</v>
      </c>
      <c r="AD3" s="3">
        <v>3</v>
      </c>
      <c r="AE3" s="4">
        <v>4</v>
      </c>
      <c r="AF3" s="1">
        <f t="shared" si="0"/>
        <v>62</v>
      </c>
      <c r="AG3" s="1">
        <f t="shared" si="1"/>
        <v>10</v>
      </c>
      <c r="AH3" s="1">
        <f t="shared" si="2"/>
        <v>21</v>
      </c>
      <c r="AI3" s="1">
        <f t="shared" si="3"/>
        <v>31</v>
      </c>
    </row>
    <row r="4" spans="1:38" ht="14.5" x14ac:dyDescent="0.35">
      <c r="A4" s="3" t="s">
        <v>13</v>
      </c>
      <c r="B4" s="3">
        <v>5</v>
      </c>
      <c r="C4" s="3">
        <v>3</v>
      </c>
      <c r="D4" s="3">
        <v>3</v>
      </c>
      <c r="E4" s="3">
        <v>2</v>
      </c>
      <c r="F4" s="3">
        <v>4</v>
      </c>
      <c r="G4" s="3">
        <v>4</v>
      </c>
      <c r="H4" s="3">
        <v>2</v>
      </c>
      <c r="I4" s="3">
        <v>1</v>
      </c>
      <c r="J4" s="3">
        <v>1</v>
      </c>
      <c r="K4" s="3">
        <v>1</v>
      </c>
      <c r="L4" s="3">
        <v>1</v>
      </c>
      <c r="M4" s="3">
        <v>3</v>
      </c>
      <c r="N4" s="3">
        <v>1</v>
      </c>
      <c r="O4" s="3">
        <v>1</v>
      </c>
      <c r="P4" s="3">
        <v>4</v>
      </c>
      <c r="Q4" s="3">
        <v>1</v>
      </c>
      <c r="R4" s="3">
        <v>1</v>
      </c>
      <c r="S4" s="3">
        <v>1</v>
      </c>
      <c r="T4" s="3">
        <v>1</v>
      </c>
      <c r="U4" s="3">
        <v>3</v>
      </c>
      <c r="V4" s="3">
        <v>1</v>
      </c>
      <c r="W4" s="3">
        <v>1</v>
      </c>
      <c r="X4" s="3">
        <v>4</v>
      </c>
      <c r="Y4" s="3">
        <v>2</v>
      </c>
      <c r="Z4" s="3">
        <v>1</v>
      </c>
      <c r="AA4" s="3">
        <v>3</v>
      </c>
      <c r="AB4" s="3">
        <v>1</v>
      </c>
      <c r="AC4" s="3">
        <v>2</v>
      </c>
      <c r="AD4" s="3">
        <v>1</v>
      </c>
      <c r="AE4" s="4">
        <v>1</v>
      </c>
      <c r="AF4" s="1">
        <f t="shared" si="0"/>
        <v>60</v>
      </c>
      <c r="AG4" s="1">
        <f t="shared" si="1"/>
        <v>23</v>
      </c>
      <c r="AH4" s="1">
        <f t="shared" si="2"/>
        <v>9</v>
      </c>
      <c r="AI4" s="1">
        <f t="shared" si="3"/>
        <v>28</v>
      </c>
    </row>
    <row r="5" spans="1:38" ht="14.5" x14ac:dyDescent="0.35">
      <c r="A5" s="3" t="s">
        <v>15</v>
      </c>
      <c r="B5" s="3">
        <v>2</v>
      </c>
      <c r="C5" s="3">
        <v>2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2</v>
      </c>
      <c r="J5" s="3">
        <v>2</v>
      </c>
      <c r="K5" s="3">
        <v>2</v>
      </c>
      <c r="L5" s="3">
        <v>2</v>
      </c>
      <c r="M5" s="3">
        <v>3</v>
      </c>
      <c r="N5" s="3">
        <v>2</v>
      </c>
      <c r="O5" s="3">
        <v>2</v>
      </c>
      <c r="P5" s="3">
        <v>2</v>
      </c>
      <c r="Q5" s="3">
        <v>1</v>
      </c>
      <c r="R5" s="3">
        <v>2</v>
      </c>
      <c r="S5" s="3">
        <v>2</v>
      </c>
      <c r="T5" s="3">
        <v>3</v>
      </c>
      <c r="U5" s="3">
        <v>2</v>
      </c>
      <c r="V5" s="3">
        <v>1</v>
      </c>
      <c r="W5" s="3">
        <v>1</v>
      </c>
      <c r="X5" s="3">
        <v>1</v>
      </c>
      <c r="Y5" s="3">
        <v>1</v>
      </c>
      <c r="Z5" s="3">
        <v>2</v>
      </c>
      <c r="AA5" s="3">
        <v>1</v>
      </c>
      <c r="AB5" s="3">
        <v>2</v>
      </c>
      <c r="AC5" s="3">
        <v>1</v>
      </c>
      <c r="AD5" s="3">
        <v>1</v>
      </c>
      <c r="AE5" s="4">
        <v>2</v>
      </c>
      <c r="AF5" s="1">
        <f t="shared" si="0"/>
        <v>49</v>
      </c>
      <c r="AG5" s="1">
        <f t="shared" si="1"/>
        <v>9</v>
      </c>
      <c r="AH5" s="1">
        <f t="shared" si="2"/>
        <v>15</v>
      </c>
      <c r="AI5" s="1">
        <f t="shared" si="3"/>
        <v>25</v>
      </c>
    </row>
    <row r="6" spans="1:38" ht="14.5" x14ac:dyDescent="0.35">
      <c r="A6" s="3" t="s">
        <v>17</v>
      </c>
      <c r="B6" s="7">
        <v>1</v>
      </c>
      <c r="C6" s="7">
        <v>3</v>
      </c>
      <c r="D6" s="7">
        <v>1</v>
      </c>
      <c r="E6" s="7">
        <v>3</v>
      </c>
      <c r="F6" s="7">
        <v>3</v>
      </c>
      <c r="G6" s="7">
        <v>2</v>
      </c>
      <c r="H6" s="7">
        <v>2</v>
      </c>
      <c r="I6" s="7">
        <v>2</v>
      </c>
      <c r="J6" s="7">
        <v>1</v>
      </c>
      <c r="K6" s="7">
        <v>2</v>
      </c>
      <c r="L6" s="7">
        <v>1</v>
      </c>
      <c r="M6" s="7">
        <v>3</v>
      </c>
      <c r="N6" s="7">
        <v>1</v>
      </c>
      <c r="O6" s="7">
        <v>2</v>
      </c>
      <c r="P6" s="7">
        <v>1</v>
      </c>
      <c r="Q6" s="7">
        <v>3</v>
      </c>
      <c r="R6" s="7">
        <v>3</v>
      </c>
      <c r="S6" s="7">
        <v>2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2</v>
      </c>
      <c r="Z6" s="7">
        <v>2</v>
      </c>
      <c r="AA6" s="7">
        <v>1</v>
      </c>
      <c r="AB6" s="7">
        <v>2</v>
      </c>
      <c r="AC6" s="7">
        <v>3</v>
      </c>
      <c r="AD6" s="7">
        <v>1</v>
      </c>
      <c r="AE6" s="10">
        <v>1</v>
      </c>
      <c r="AF6" s="1">
        <f t="shared" si="0"/>
        <v>53</v>
      </c>
      <c r="AG6" s="1">
        <f t="shared" si="1"/>
        <v>15</v>
      </c>
      <c r="AH6" s="1">
        <f t="shared" si="2"/>
        <v>12</v>
      </c>
      <c r="AI6" s="1">
        <f t="shared" si="3"/>
        <v>26</v>
      </c>
    </row>
    <row r="7" spans="1:38" ht="14.5" x14ac:dyDescent="0.35">
      <c r="A7" s="3" t="s">
        <v>19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2</v>
      </c>
      <c r="M7" s="7">
        <v>1</v>
      </c>
      <c r="N7" s="7">
        <v>1</v>
      </c>
      <c r="O7" s="7">
        <v>1</v>
      </c>
      <c r="P7" s="7">
        <v>3</v>
      </c>
      <c r="Q7" s="7">
        <v>2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2</v>
      </c>
      <c r="AF7" s="11">
        <f t="shared" si="0"/>
        <v>35</v>
      </c>
      <c r="AG7" s="11">
        <f t="shared" si="1"/>
        <v>7</v>
      </c>
      <c r="AH7" s="11">
        <f t="shared" si="2"/>
        <v>8</v>
      </c>
      <c r="AI7" s="11">
        <f t="shared" si="3"/>
        <v>20</v>
      </c>
      <c r="AJ7" s="11"/>
      <c r="AK7" s="11"/>
      <c r="AL7" s="11"/>
    </row>
    <row r="8" spans="1:38" ht="14.5" x14ac:dyDescent="0.35">
      <c r="A8" s="3" t="s">
        <v>20</v>
      </c>
      <c r="B8" s="7">
        <v>5</v>
      </c>
      <c r="C8" s="7">
        <v>4</v>
      </c>
      <c r="D8" s="7">
        <v>4</v>
      </c>
      <c r="E8" s="7">
        <v>4</v>
      </c>
      <c r="F8" s="7">
        <v>4</v>
      </c>
      <c r="G8" s="7">
        <v>4</v>
      </c>
      <c r="H8" s="7">
        <v>3</v>
      </c>
      <c r="I8" s="7">
        <v>4</v>
      </c>
      <c r="J8" s="7">
        <v>4</v>
      </c>
      <c r="K8" s="7">
        <v>3</v>
      </c>
      <c r="L8" s="7">
        <v>3</v>
      </c>
      <c r="M8" s="7">
        <v>3</v>
      </c>
      <c r="N8" s="7">
        <v>3</v>
      </c>
      <c r="O8" s="7">
        <v>4</v>
      </c>
      <c r="P8" s="7">
        <v>3</v>
      </c>
      <c r="Q8" s="7">
        <v>4</v>
      </c>
      <c r="R8" s="7">
        <v>2</v>
      </c>
      <c r="S8" s="7">
        <v>4</v>
      </c>
      <c r="T8" s="7">
        <v>3</v>
      </c>
      <c r="U8" s="7">
        <v>2</v>
      </c>
      <c r="V8" s="7">
        <v>3</v>
      </c>
      <c r="W8" s="7">
        <v>3</v>
      </c>
      <c r="X8" s="7">
        <v>4</v>
      </c>
      <c r="Y8" s="7">
        <v>1</v>
      </c>
      <c r="Z8" s="7">
        <v>4</v>
      </c>
      <c r="AA8" s="7">
        <v>3</v>
      </c>
      <c r="AB8" s="7">
        <v>3</v>
      </c>
      <c r="AC8" s="7">
        <v>3</v>
      </c>
      <c r="AD8" s="7">
        <v>4</v>
      </c>
      <c r="AE8" s="7">
        <v>4</v>
      </c>
      <c r="AF8" s="11">
        <f t="shared" si="0"/>
        <v>102</v>
      </c>
      <c r="AG8" s="11">
        <f t="shared" si="1"/>
        <v>28</v>
      </c>
      <c r="AH8" s="11">
        <f t="shared" si="2"/>
        <v>24</v>
      </c>
      <c r="AI8" s="11">
        <f t="shared" si="3"/>
        <v>50</v>
      </c>
      <c r="AJ8" s="11"/>
      <c r="AK8" s="11"/>
      <c r="AL8" s="11"/>
    </row>
    <row r="9" spans="1:38" ht="14.5" x14ac:dyDescent="0.35">
      <c r="A9" s="3" t="s">
        <v>21</v>
      </c>
      <c r="B9" s="7">
        <v>5</v>
      </c>
      <c r="C9" s="7">
        <v>3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2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2</v>
      </c>
      <c r="Q9" s="7">
        <v>1</v>
      </c>
      <c r="R9" s="7">
        <v>1</v>
      </c>
      <c r="S9" s="7">
        <v>2</v>
      </c>
      <c r="T9" s="7">
        <v>3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2</v>
      </c>
      <c r="AA9" s="7">
        <v>1</v>
      </c>
      <c r="AB9" s="7">
        <v>2</v>
      </c>
      <c r="AC9" s="7">
        <v>1</v>
      </c>
      <c r="AD9" s="7">
        <v>1</v>
      </c>
      <c r="AE9" s="7">
        <v>1</v>
      </c>
      <c r="AF9" s="11">
        <f t="shared" si="0"/>
        <v>43</v>
      </c>
      <c r="AG9" s="11">
        <f t="shared" si="1"/>
        <v>13</v>
      </c>
      <c r="AH9" s="11">
        <f t="shared" si="2"/>
        <v>8</v>
      </c>
      <c r="AI9" s="11">
        <f t="shared" si="3"/>
        <v>22</v>
      </c>
      <c r="AJ9" s="11"/>
      <c r="AK9" s="11"/>
      <c r="AL9" s="11"/>
    </row>
    <row r="10" spans="1:38" ht="14.5" x14ac:dyDescent="0.35">
      <c r="A10" s="3" t="s">
        <v>24</v>
      </c>
      <c r="B10" s="7">
        <v>1</v>
      </c>
      <c r="C10" s="7">
        <v>2</v>
      </c>
      <c r="D10" s="7">
        <v>1</v>
      </c>
      <c r="E10" s="7">
        <v>1</v>
      </c>
      <c r="F10" s="7">
        <v>1</v>
      </c>
      <c r="G10" s="7">
        <v>1</v>
      </c>
      <c r="H10" s="7">
        <v>5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5</v>
      </c>
      <c r="Q10" s="7">
        <v>2</v>
      </c>
      <c r="R10" s="7">
        <v>2</v>
      </c>
      <c r="S10" s="7">
        <v>2</v>
      </c>
      <c r="T10" s="7">
        <v>1</v>
      </c>
      <c r="U10" s="7">
        <v>1</v>
      </c>
      <c r="V10" s="7">
        <v>1</v>
      </c>
      <c r="W10" s="7">
        <v>2</v>
      </c>
      <c r="X10" s="7">
        <v>1</v>
      </c>
      <c r="Y10" s="7">
        <v>1</v>
      </c>
      <c r="Z10" s="7">
        <v>2</v>
      </c>
      <c r="AA10" s="7">
        <v>5</v>
      </c>
      <c r="AB10" s="7">
        <v>1</v>
      </c>
      <c r="AC10" s="7">
        <v>1</v>
      </c>
      <c r="AD10" s="7">
        <v>1</v>
      </c>
      <c r="AE10" s="7">
        <v>1</v>
      </c>
      <c r="AF10" s="7">
        <f t="shared" si="0"/>
        <v>48</v>
      </c>
      <c r="AG10" s="7">
        <f t="shared" si="1"/>
        <v>12</v>
      </c>
      <c r="AH10" s="7">
        <f t="shared" si="2"/>
        <v>7</v>
      </c>
      <c r="AI10" s="7">
        <f t="shared" si="3"/>
        <v>29</v>
      </c>
      <c r="AJ10" s="11"/>
      <c r="AK10" s="11"/>
      <c r="AL10" s="11"/>
    </row>
    <row r="11" spans="1:38" ht="14.5" x14ac:dyDescent="0.35">
      <c r="A11" s="3" t="s">
        <v>26</v>
      </c>
      <c r="B11" s="7">
        <v>1</v>
      </c>
      <c r="C11" s="7">
        <v>2</v>
      </c>
      <c r="D11" s="7">
        <v>1</v>
      </c>
      <c r="E11" s="7">
        <v>6</v>
      </c>
      <c r="F11" s="3">
        <v>3</v>
      </c>
      <c r="G11" s="7">
        <v>1</v>
      </c>
      <c r="H11" s="7">
        <v>3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2</v>
      </c>
      <c r="P11" s="7">
        <v>1</v>
      </c>
      <c r="Q11" s="7">
        <v>2</v>
      </c>
      <c r="R11" s="7">
        <v>3</v>
      </c>
      <c r="S11" s="7">
        <v>3</v>
      </c>
      <c r="T11" s="7">
        <v>1</v>
      </c>
      <c r="U11" s="7">
        <v>3</v>
      </c>
      <c r="V11" s="7">
        <v>1</v>
      </c>
      <c r="W11" s="7">
        <v>1</v>
      </c>
      <c r="X11" s="7">
        <v>1</v>
      </c>
      <c r="Y11" s="7">
        <v>1</v>
      </c>
      <c r="Z11" s="7">
        <v>3</v>
      </c>
      <c r="AA11" s="7">
        <v>3</v>
      </c>
      <c r="AB11" s="7">
        <v>4</v>
      </c>
      <c r="AC11" s="7">
        <v>2</v>
      </c>
      <c r="AD11" s="7">
        <v>1</v>
      </c>
      <c r="AE11" s="7">
        <v>1</v>
      </c>
      <c r="AF11" s="11">
        <f t="shared" si="0"/>
        <v>56</v>
      </c>
      <c r="AG11" s="11">
        <f t="shared" si="1"/>
        <v>17</v>
      </c>
      <c r="AH11" s="11">
        <f t="shared" si="2"/>
        <v>8</v>
      </c>
      <c r="AI11" s="11">
        <f t="shared" si="3"/>
        <v>31</v>
      </c>
      <c r="AJ11" s="11"/>
      <c r="AK11" s="11"/>
      <c r="AL11" s="11"/>
    </row>
    <row r="12" spans="1:38" ht="14.5" x14ac:dyDescent="0.35">
      <c r="A12" s="3" t="s">
        <v>27</v>
      </c>
      <c r="B12" s="7">
        <v>1</v>
      </c>
      <c r="C12" s="7">
        <v>1</v>
      </c>
      <c r="D12" s="7">
        <v>1</v>
      </c>
      <c r="E12" s="7">
        <v>3</v>
      </c>
      <c r="F12" s="7">
        <v>1</v>
      </c>
      <c r="G12" s="7">
        <v>2</v>
      </c>
      <c r="H12" s="7">
        <v>1</v>
      </c>
      <c r="I12" s="7">
        <v>3</v>
      </c>
      <c r="J12" s="7">
        <v>1</v>
      </c>
      <c r="K12" s="7">
        <v>1</v>
      </c>
      <c r="L12" s="7">
        <v>2</v>
      </c>
      <c r="M12" s="7">
        <v>3</v>
      </c>
      <c r="N12" s="7">
        <v>1</v>
      </c>
      <c r="O12" s="7">
        <v>2</v>
      </c>
      <c r="P12" s="7">
        <v>1</v>
      </c>
      <c r="Q12" s="7">
        <v>2</v>
      </c>
      <c r="R12" s="7">
        <v>1</v>
      </c>
      <c r="S12" s="7">
        <v>2</v>
      </c>
      <c r="T12" s="7">
        <v>3</v>
      </c>
      <c r="U12" s="7">
        <v>1</v>
      </c>
      <c r="V12" s="7">
        <v>2</v>
      </c>
      <c r="W12" s="7">
        <v>1</v>
      </c>
      <c r="X12" s="7">
        <v>1</v>
      </c>
      <c r="Y12" s="7">
        <v>1</v>
      </c>
      <c r="Z12" s="7">
        <v>1</v>
      </c>
      <c r="AA12" s="7">
        <v>2</v>
      </c>
      <c r="AB12" s="7">
        <v>2</v>
      </c>
      <c r="AC12" s="7">
        <v>1</v>
      </c>
      <c r="AD12" s="7">
        <v>1</v>
      </c>
      <c r="AE12" s="7">
        <v>3</v>
      </c>
      <c r="AF12" s="11">
        <f t="shared" si="0"/>
        <v>48</v>
      </c>
      <c r="AG12" s="11">
        <f t="shared" si="1"/>
        <v>10</v>
      </c>
      <c r="AH12" s="11">
        <f t="shared" si="2"/>
        <v>13</v>
      </c>
      <c r="AI12" s="11">
        <f t="shared" si="3"/>
        <v>25</v>
      </c>
      <c r="AJ12" s="11"/>
      <c r="AK12" s="11"/>
      <c r="AL12" s="11"/>
    </row>
    <row r="13" spans="1:38" ht="14.5" x14ac:dyDescent="0.35">
      <c r="A13" s="3" t="s">
        <v>28</v>
      </c>
      <c r="B13" s="7">
        <v>3</v>
      </c>
      <c r="C13" s="7">
        <v>2</v>
      </c>
      <c r="D13" s="7">
        <v>3</v>
      </c>
      <c r="E13" s="7">
        <v>5</v>
      </c>
      <c r="F13" s="7">
        <v>3</v>
      </c>
      <c r="G13" s="7">
        <v>2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7">
        <v>5</v>
      </c>
      <c r="N13" s="7">
        <v>4</v>
      </c>
      <c r="O13" s="7">
        <v>4</v>
      </c>
      <c r="P13" s="7">
        <v>3</v>
      </c>
      <c r="Q13" s="7">
        <v>4</v>
      </c>
      <c r="R13" s="7">
        <v>1</v>
      </c>
      <c r="S13" s="7">
        <v>5</v>
      </c>
      <c r="T13" s="7">
        <v>2</v>
      </c>
      <c r="U13" s="7">
        <v>1</v>
      </c>
      <c r="V13" s="7">
        <v>1</v>
      </c>
      <c r="W13" s="7">
        <v>2</v>
      </c>
      <c r="X13" s="7">
        <v>3</v>
      </c>
      <c r="Y13" s="7">
        <v>3</v>
      </c>
      <c r="Z13" s="7">
        <v>5</v>
      </c>
      <c r="AA13" s="7">
        <v>4</v>
      </c>
      <c r="AB13" s="7">
        <v>6</v>
      </c>
      <c r="AC13" s="7">
        <v>6</v>
      </c>
      <c r="AD13" s="7">
        <v>2</v>
      </c>
      <c r="AE13" s="7">
        <v>1</v>
      </c>
      <c r="AF13" s="11">
        <f t="shared" si="0"/>
        <v>95</v>
      </c>
      <c r="AG13" s="11">
        <f t="shared" si="1"/>
        <v>21</v>
      </c>
      <c r="AH13" s="11">
        <f t="shared" si="2"/>
        <v>25</v>
      </c>
      <c r="AI13" s="11">
        <f t="shared" si="3"/>
        <v>49</v>
      </c>
      <c r="AJ13" s="11"/>
      <c r="AK13" s="11"/>
      <c r="AL13" s="11"/>
    </row>
    <row r="14" spans="1:38" ht="14.5" x14ac:dyDescent="0.35">
      <c r="A14" s="3" t="s">
        <v>29</v>
      </c>
      <c r="B14" s="7">
        <v>4</v>
      </c>
      <c r="C14" s="7">
        <v>3</v>
      </c>
      <c r="D14" s="7">
        <v>5</v>
      </c>
      <c r="E14" s="7">
        <v>1</v>
      </c>
      <c r="F14" s="7">
        <v>5</v>
      </c>
      <c r="G14" s="7">
        <v>5</v>
      </c>
      <c r="H14" s="7">
        <v>1</v>
      </c>
      <c r="I14" s="7">
        <v>2</v>
      </c>
      <c r="J14" s="7">
        <v>4</v>
      </c>
      <c r="K14" s="7">
        <v>3</v>
      </c>
      <c r="L14" s="7">
        <v>5</v>
      </c>
      <c r="M14" s="7">
        <v>2</v>
      </c>
      <c r="N14" s="7">
        <v>5</v>
      </c>
      <c r="O14" s="7">
        <v>3</v>
      </c>
      <c r="P14" s="7">
        <v>4</v>
      </c>
      <c r="Q14" s="7">
        <v>3</v>
      </c>
      <c r="R14" s="7">
        <v>6</v>
      </c>
      <c r="S14" s="7">
        <v>3</v>
      </c>
      <c r="T14" s="7">
        <v>4</v>
      </c>
      <c r="U14" s="7">
        <v>3</v>
      </c>
      <c r="V14" s="7">
        <v>1</v>
      </c>
      <c r="W14" s="7">
        <v>1</v>
      </c>
      <c r="X14" s="7">
        <v>4</v>
      </c>
      <c r="Y14" s="7">
        <v>1</v>
      </c>
      <c r="Z14" s="7">
        <v>4</v>
      </c>
      <c r="AA14" s="7">
        <v>3</v>
      </c>
      <c r="AB14" s="7">
        <v>3</v>
      </c>
      <c r="AC14" s="7">
        <v>3</v>
      </c>
      <c r="AD14" s="7">
        <v>4</v>
      </c>
      <c r="AE14" s="7">
        <v>3</v>
      </c>
      <c r="AF14" s="11">
        <f t="shared" si="0"/>
        <v>98</v>
      </c>
      <c r="AG14" s="11">
        <f t="shared" si="1"/>
        <v>24</v>
      </c>
      <c r="AH14" s="11">
        <f t="shared" si="2"/>
        <v>24</v>
      </c>
      <c r="AI14" s="11">
        <f t="shared" si="3"/>
        <v>50</v>
      </c>
      <c r="AJ14" s="11"/>
      <c r="AK14" s="11"/>
      <c r="AL14" s="11"/>
    </row>
    <row r="15" spans="1:38" ht="14.5" x14ac:dyDescent="0.35">
      <c r="A15" s="3" t="s">
        <v>30</v>
      </c>
      <c r="B15" s="7">
        <v>3</v>
      </c>
      <c r="C15" s="7">
        <v>3</v>
      </c>
      <c r="D15" s="7">
        <v>1</v>
      </c>
      <c r="E15" s="7">
        <v>1</v>
      </c>
      <c r="F15" s="7">
        <v>1</v>
      </c>
      <c r="G15" s="7">
        <v>3</v>
      </c>
      <c r="H15" s="7">
        <v>2</v>
      </c>
      <c r="I15" s="7">
        <v>3</v>
      </c>
      <c r="J15" s="7">
        <v>1</v>
      </c>
      <c r="K15" s="7">
        <v>2</v>
      </c>
      <c r="L15" s="7">
        <v>2</v>
      </c>
      <c r="M15" s="7">
        <v>4</v>
      </c>
      <c r="N15" s="7">
        <v>2</v>
      </c>
      <c r="O15" s="7">
        <v>3</v>
      </c>
      <c r="P15" s="7">
        <v>5</v>
      </c>
      <c r="Q15" s="7">
        <v>2</v>
      </c>
      <c r="R15" s="7">
        <v>1</v>
      </c>
      <c r="S15" s="7">
        <v>2</v>
      </c>
      <c r="T15" s="7">
        <v>3</v>
      </c>
      <c r="U15" s="7">
        <v>1</v>
      </c>
      <c r="V15" s="7">
        <v>2</v>
      </c>
      <c r="W15" s="7">
        <v>1</v>
      </c>
      <c r="X15" s="7">
        <v>1</v>
      </c>
      <c r="Y15" s="7">
        <v>1</v>
      </c>
      <c r="Z15" s="7">
        <v>3</v>
      </c>
      <c r="AA15" s="7">
        <v>3</v>
      </c>
      <c r="AB15" s="7">
        <v>3</v>
      </c>
      <c r="AC15" s="7">
        <v>1</v>
      </c>
      <c r="AD15" s="7">
        <v>2</v>
      </c>
      <c r="AE15" s="7">
        <v>1</v>
      </c>
      <c r="AF15" s="11">
        <f t="shared" si="0"/>
        <v>63</v>
      </c>
      <c r="AG15" s="11">
        <f t="shared" si="1"/>
        <v>14</v>
      </c>
      <c r="AH15" s="11">
        <f t="shared" si="2"/>
        <v>17</v>
      </c>
      <c r="AI15" s="11">
        <f t="shared" si="3"/>
        <v>32</v>
      </c>
      <c r="AJ15" s="11"/>
      <c r="AK15" s="11"/>
      <c r="AL15" s="11"/>
    </row>
    <row r="16" spans="1:38" ht="14.5" x14ac:dyDescent="0.35">
      <c r="A16" s="3" t="s">
        <v>31</v>
      </c>
      <c r="B16" s="7">
        <v>3</v>
      </c>
      <c r="C16" s="7">
        <v>3</v>
      </c>
      <c r="D16" s="7">
        <v>4</v>
      </c>
      <c r="E16" s="7">
        <v>3</v>
      </c>
      <c r="F16" s="7">
        <v>3</v>
      </c>
      <c r="G16" s="7">
        <v>1</v>
      </c>
      <c r="H16" s="7">
        <v>1</v>
      </c>
      <c r="I16" s="7">
        <v>3</v>
      </c>
      <c r="J16" s="7">
        <v>2</v>
      </c>
      <c r="K16" s="7">
        <v>1</v>
      </c>
      <c r="L16" s="7">
        <v>1</v>
      </c>
      <c r="M16" s="7">
        <v>2</v>
      </c>
      <c r="N16" s="7">
        <v>1</v>
      </c>
      <c r="O16" s="7">
        <v>1</v>
      </c>
      <c r="P16" s="7">
        <v>1</v>
      </c>
      <c r="Q16" s="7">
        <v>1</v>
      </c>
      <c r="R16" s="7">
        <v>3</v>
      </c>
      <c r="S16" s="7">
        <v>1</v>
      </c>
      <c r="T16" s="7">
        <v>2</v>
      </c>
      <c r="U16" s="7">
        <v>3</v>
      </c>
      <c r="V16" s="7">
        <v>1</v>
      </c>
      <c r="W16" s="7">
        <v>1</v>
      </c>
      <c r="X16" s="7">
        <v>2</v>
      </c>
      <c r="Y16" s="7">
        <v>1</v>
      </c>
      <c r="Z16" s="7">
        <v>2</v>
      </c>
      <c r="AA16" s="7">
        <v>2</v>
      </c>
      <c r="AB16" s="7">
        <v>2</v>
      </c>
      <c r="AC16" s="7">
        <v>2</v>
      </c>
      <c r="AD16" s="7">
        <v>2</v>
      </c>
      <c r="AE16" s="7">
        <v>1</v>
      </c>
      <c r="AF16" s="11">
        <f t="shared" si="0"/>
        <v>56</v>
      </c>
      <c r="AG16" s="11">
        <f t="shared" si="1"/>
        <v>18</v>
      </c>
      <c r="AH16" s="11">
        <f t="shared" si="2"/>
        <v>11</v>
      </c>
      <c r="AI16" s="11">
        <f t="shared" si="3"/>
        <v>27</v>
      </c>
      <c r="AJ16" s="11"/>
      <c r="AK16" s="11"/>
      <c r="AL16" s="11"/>
    </row>
    <row r="17" spans="1:38" ht="14.5" x14ac:dyDescent="0.35">
      <c r="A17" s="3" t="s">
        <v>32</v>
      </c>
      <c r="B17" s="7">
        <v>1</v>
      </c>
      <c r="C17" s="7">
        <v>1</v>
      </c>
      <c r="D17" s="7">
        <v>1</v>
      </c>
      <c r="E17" s="7">
        <v>2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11">
        <f t="shared" si="0"/>
        <v>31</v>
      </c>
      <c r="AG17" s="11">
        <f t="shared" si="1"/>
        <v>8</v>
      </c>
      <c r="AH17" s="11">
        <f t="shared" si="2"/>
        <v>7</v>
      </c>
      <c r="AI17" s="11">
        <f t="shared" si="3"/>
        <v>16</v>
      </c>
      <c r="AJ17" s="11"/>
      <c r="AK17" s="11"/>
      <c r="AL17" s="11"/>
    </row>
    <row r="18" spans="1:38" ht="14.5" x14ac:dyDescent="0.35">
      <c r="A18" s="3" t="s">
        <v>33</v>
      </c>
      <c r="B18" s="7">
        <v>1</v>
      </c>
      <c r="C18" s="7">
        <v>3</v>
      </c>
      <c r="D18" s="7">
        <v>1</v>
      </c>
      <c r="E18" s="7">
        <v>3</v>
      </c>
      <c r="F18" s="7">
        <v>2</v>
      </c>
      <c r="G18" s="7">
        <v>3</v>
      </c>
      <c r="H18" s="7">
        <v>3</v>
      </c>
      <c r="I18" s="7">
        <v>3</v>
      </c>
      <c r="J18" s="7">
        <v>3</v>
      </c>
      <c r="K18" s="7">
        <v>2</v>
      </c>
      <c r="L18" s="7">
        <v>1</v>
      </c>
      <c r="M18" s="7">
        <v>1</v>
      </c>
      <c r="N18" s="7">
        <v>2</v>
      </c>
      <c r="O18" s="7">
        <v>1</v>
      </c>
      <c r="P18" s="7">
        <v>1</v>
      </c>
      <c r="Q18" s="7">
        <v>3</v>
      </c>
      <c r="R18" s="7">
        <v>3</v>
      </c>
      <c r="S18" s="7">
        <v>2</v>
      </c>
      <c r="T18" s="7">
        <v>2</v>
      </c>
      <c r="U18" s="7">
        <v>4</v>
      </c>
      <c r="V18" s="7">
        <v>2</v>
      </c>
      <c r="W18" s="7">
        <v>2</v>
      </c>
      <c r="X18" s="7">
        <v>1</v>
      </c>
      <c r="Y18" s="7">
        <v>1</v>
      </c>
      <c r="Z18" s="7">
        <v>1</v>
      </c>
      <c r="AA18" s="7">
        <v>1</v>
      </c>
      <c r="AB18" s="7">
        <v>2</v>
      </c>
      <c r="AC18" s="7">
        <v>3</v>
      </c>
      <c r="AD18" s="7">
        <v>1</v>
      </c>
      <c r="AE18" s="7">
        <v>2</v>
      </c>
      <c r="AF18" s="11">
        <f t="shared" si="0"/>
        <v>60</v>
      </c>
      <c r="AG18" s="11">
        <f t="shared" si="1"/>
        <v>16</v>
      </c>
      <c r="AH18" s="11">
        <f t="shared" si="2"/>
        <v>13</v>
      </c>
      <c r="AI18" s="11">
        <f t="shared" si="3"/>
        <v>31</v>
      </c>
      <c r="AJ18" s="11"/>
      <c r="AK18" s="11"/>
      <c r="AL18" s="11"/>
    </row>
    <row r="19" spans="1:38" ht="14.5" x14ac:dyDescent="0.35">
      <c r="A19" s="3" t="s">
        <v>34</v>
      </c>
      <c r="B19" s="7">
        <v>1</v>
      </c>
      <c r="C19" s="7">
        <v>3</v>
      </c>
      <c r="D19" s="7">
        <v>1</v>
      </c>
      <c r="E19" s="7">
        <v>3</v>
      </c>
      <c r="F19" s="7">
        <v>1</v>
      </c>
      <c r="G19" s="7">
        <v>1</v>
      </c>
      <c r="H19" s="7">
        <v>1</v>
      </c>
      <c r="I19" s="7">
        <v>4</v>
      </c>
      <c r="J19" s="7">
        <v>2</v>
      </c>
      <c r="K19" s="7">
        <v>1</v>
      </c>
      <c r="L19" s="7">
        <v>3</v>
      </c>
      <c r="M19" s="7">
        <v>3</v>
      </c>
      <c r="N19" s="7">
        <v>1</v>
      </c>
      <c r="O19" s="7">
        <v>3</v>
      </c>
      <c r="P19" s="7">
        <v>1</v>
      </c>
      <c r="Q19" s="7">
        <v>2</v>
      </c>
      <c r="R19" s="7">
        <v>1</v>
      </c>
      <c r="S19" s="7">
        <v>3</v>
      </c>
      <c r="T19" s="7">
        <v>3</v>
      </c>
      <c r="U19" s="7">
        <v>1</v>
      </c>
      <c r="V19" s="7">
        <v>3</v>
      </c>
      <c r="W19" s="7">
        <v>1</v>
      </c>
      <c r="X19" s="7">
        <v>1</v>
      </c>
      <c r="Y19" s="7">
        <v>1</v>
      </c>
      <c r="Z19" s="7">
        <v>1</v>
      </c>
      <c r="AA19" s="7">
        <v>2</v>
      </c>
      <c r="AB19" s="7">
        <v>2</v>
      </c>
      <c r="AC19" s="7">
        <v>1</v>
      </c>
      <c r="AD19" s="7">
        <v>1</v>
      </c>
      <c r="AE19" s="7">
        <v>1</v>
      </c>
      <c r="AF19" s="11">
        <f t="shared" si="0"/>
        <v>53</v>
      </c>
      <c r="AG19" s="11">
        <f t="shared" si="1"/>
        <v>11</v>
      </c>
      <c r="AH19" s="11">
        <f t="shared" si="2"/>
        <v>17</v>
      </c>
      <c r="AI19" s="11">
        <f t="shared" si="3"/>
        <v>25</v>
      </c>
      <c r="AJ19" s="11"/>
      <c r="AK19" s="11"/>
      <c r="AL19" s="11"/>
    </row>
    <row r="20" spans="1:38" ht="14.5" x14ac:dyDescent="0.35">
      <c r="A20" s="3" t="s">
        <v>35</v>
      </c>
      <c r="B20" s="7">
        <v>3</v>
      </c>
      <c r="C20" s="7">
        <v>2</v>
      </c>
      <c r="D20" s="7">
        <v>4</v>
      </c>
      <c r="E20" s="7">
        <v>2</v>
      </c>
      <c r="F20" s="7">
        <v>1</v>
      </c>
      <c r="G20" s="7">
        <v>1</v>
      </c>
      <c r="H20" s="7">
        <v>1</v>
      </c>
      <c r="I20" s="7">
        <v>3</v>
      </c>
      <c r="J20" s="7">
        <v>3</v>
      </c>
      <c r="K20" s="7">
        <v>1</v>
      </c>
      <c r="L20" s="7">
        <v>2</v>
      </c>
      <c r="M20" s="7">
        <v>2</v>
      </c>
      <c r="N20" s="7">
        <v>1</v>
      </c>
      <c r="O20" s="7">
        <v>1</v>
      </c>
      <c r="P20" s="7">
        <v>2</v>
      </c>
      <c r="Q20" s="7">
        <v>4</v>
      </c>
      <c r="R20" s="7">
        <v>1</v>
      </c>
      <c r="S20" s="7">
        <v>2</v>
      </c>
      <c r="T20" s="7">
        <v>1</v>
      </c>
      <c r="U20" s="7">
        <v>3</v>
      </c>
      <c r="V20" s="7">
        <v>1</v>
      </c>
      <c r="W20" s="7">
        <v>1</v>
      </c>
      <c r="X20" s="7">
        <v>1</v>
      </c>
      <c r="Y20" s="7">
        <v>2</v>
      </c>
      <c r="Z20" s="7">
        <v>2</v>
      </c>
      <c r="AA20" s="7">
        <v>1</v>
      </c>
      <c r="AB20" s="7">
        <v>2</v>
      </c>
      <c r="AC20" s="7">
        <v>1</v>
      </c>
      <c r="AD20" s="7">
        <v>1</v>
      </c>
      <c r="AE20" s="7">
        <v>3</v>
      </c>
      <c r="AF20" s="11">
        <f t="shared" si="0"/>
        <v>55</v>
      </c>
      <c r="AG20" s="11">
        <f t="shared" si="1"/>
        <v>14</v>
      </c>
      <c r="AH20" s="11">
        <f t="shared" si="2"/>
        <v>13</v>
      </c>
      <c r="AI20" s="11">
        <f t="shared" si="3"/>
        <v>28</v>
      </c>
      <c r="AJ20" s="11"/>
      <c r="AK20" s="11"/>
      <c r="AL20" s="11"/>
    </row>
    <row r="21" spans="1:38" ht="14.5" x14ac:dyDescent="0.35">
      <c r="A21" s="3" t="s">
        <v>36</v>
      </c>
      <c r="B21" s="7">
        <v>4</v>
      </c>
      <c r="C21" s="7">
        <v>3</v>
      </c>
      <c r="D21" s="7">
        <v>4</v>
      </c>
      <c r="E21" s="7">
        <v>1</v>
      </c>
      <c r="F21" s="7">
        <v>3</v>
      </c>
      <c r="G21" s="7">
        <v>1</v>
      </c>
      <c r="H21" s="7">
        <v>1</v>
      </c>
      <c r="I21" s="7">
        <v>5</v>
      </c>
      <c r="J21" s="7">
        <v>4</v>
      </c>
      <c r="K21" s="7">
        <v>3</v>
      </c>
      <c r="L21" s="7">
        <v>6</v>
      </c>
      <c r="M21" s="7">
        <v>4</v>
      </c>
      <c r="N21" s="7">
        <v>2</v>
      </c>
      <c r="O21" s="7">
        <v>3</v>
      </c>
      <c r="P21" s="7">
        <v>1</v>
      </c>
      <c r="Q21" s="7">
        <v>5</v>
      </c>
      <c r="R21" s="7">
        <v>3</v>
      </c>
      <c r="S21" s="7">
        <v>2</v>
      </c>
      <c r="T21" s="7">
        <v>1</v>
      </c>
      <c r="U21" s="7">
        <v>6</v>
      </c>
      <c r="V21" s="7">
        <v>3</v>
      </c>
      <c r="W21" s="7">
        <v>1</v>
      </c>
      <c r="X21" s="7">
        <v>2</v>
      </c>
      <c r="Y21" s="7">
        <v>1</v>
      </c>
      <c r="Z21" s="7">
        <v>3</v>
      </c>
      <c r="AA21" s="7">
        <v>1</v>
      </c>
      <c r="AB21" s="7">
        <v>2</v>
      </c>
      <c r="AC21" s="7">
        <v>1</v>
      </c>
      <c r="AD21" s="7">
        <v>2</v>
      </c>
      <c r="AE21" s="7">
        <v>1</v>
      </c>
      <c r="AF21" s="11">
        <f t="shared" si="0"/>
        <v>79</v>
      </c>
      <c r="AG21" s="11">
        <f t="shared" si="1"/>
        <v>17</v>
      </c>
      <c r="AH21" s="11">
        <f t="shared" si="2"/>
        <v>27</v>
      </c>
      <c r="AI21" s="11">
        <f t="shared" si="3"/>
        <v>35</v>
      </c>
      <c r="AJ21" s="11"/>
      <c r="AK21" s="11"/>
      <c r="AL21" s="11"/>
    </row>
    <row r="22" spans="1:38" ht="14.5" x14ac:dyDescent="0.35">
      <c r="A22" s="7" t="s">
        <v>37</v>
      </c>
      <c r="B22" s="7">
        <v>2</v>
      </c>
      <c r="C22" s="7">
        <v>3</v>
      </c>
      <c r="D22" s="7">
        <v>1</v>
      </c>
      <c r="E22" s="7">
        <v>3</v>
      </c>
      <c r="F22" s="7">
        <v>2</v>
      </c>
      <c r="G22" s="7">
        <v>1</v>
      </c>
      <c r="H22" s="7">
        <v>1</v>
      </c>
      <c r="I22" s="7">
        <v>3</v>
      </c>
      <c r="J22" s="7">
        <v>2</v>
      </c>
      <c r="K22" s="7">
        <v>1</v>
      </c>
      <c r="L22" s="7">
        <v>1</v>
      </c>
      <c r="M22" s="7">
        <v>3</v>
      </c>
      <c r="N22" s="7">
        <v>1</v>
      </c>
      <c r="O22" s="7">
        <v>3</v>
      </c>
      <c r="P22" s="7">
        <v>1</v>
      </c>
      <c r="Q22" s="7">
        <v>3</v>
      </c>
      <c r="R22" s="7">
        <v>2</v>
      </c>
      <c r="S22" s="7">
        <v>2</v>
      </c>
      <c r="T22" s="7">
        <v>1</v>
      </c>
      <c r="U22" s="7">
        <v>1</v>
      </c>
      <c r="V22" s="7">
        <v>2</v>
      </c>
      <c r="W22" s="7">
        <v>1</v>
      </c>
      <c r="X22" s="7">
        <v>1</v>
      </c>
      <c r="Y22" s="7">
        <v>1</v>
      </c>
      <c r="Z22" s="7">
        <v>3</v>
      </c>
      <c r="AA22" s="7">
        <v>1</v>
      </c>
      <c r="AB22" s="7">
        <v>2</v>
      </c>
      <c r="AC22" s="7">
        <v>1</v>
      </c>
      <c r="AD22" s="7">
        <v>1</v>
      </c>
      <c r="AE22" s="7">
        <v>1</v>
      </c>
      <c r="AF22" s="11">
        <f t="shared" si="0"/>
        <v>51</v>
      </c>
      <c r="AG22" s="11">
        <f t="shared" si="1"/>
        <v>13</v>
      </c>
      <c r="AH22" s="11">
        <f t="shared" si="2"/>
        <v>14</v>
      </c>
      <c r="AI22" s="11">
        <f t="shared" si="3"/>
        <v>24</v>
      </c>
      <c r="AJ22" s="11"/>
      <c r="AK22" s="11"/>
      <c r="AL22" s="11"/>
    </row>
    <row r="23" spans="1:38" ht="14.5" x14ac:dyDescent="0.35">
      <c r="A23" s="7" t="s">
        <v>38</v>
      </c>
      <c r="B23" s="7">
        <v>3</v>
      </c>
      <c r="C23" s="7">
        <v>1</v>
      </c>
      <c r="D23" s="7">
        <v>2</v>
      </c>
      <c r="E23" s="7">
        <v>3</v>
      </c>
      <c r="F23" s="7">
        <v>1</v>
      </c>
      <c r="G23" s="7">
        <v>2</v>
      </c>
      <c r="H23" s="7">
        <v>1</v>
      </c>
      <c r="I23" s="7">
        <v>3</v>
      </c>
      <c r="J23" s="7">
        <v>1</v>
      </c>
      <c r="K23" s="7">
        <v>1</v>
      </c>
      <c r="L23" s="7">
        <v>1</v>
      </c>
      <c r="M23" s="7">
        <v>3</v>
      </c>
      <c r="N23" s="7">
        <v>1</v>
      </c>
      <c r="O23" s="7">
        <v>2</v>
      </c>
      <c r="P23" s="7">
        <v>3</v>
      </c>
      <c r="Q23" s="7">
        <v>2</v>
      </c>
      <c r="R23" s="7">
        <v>1</v>
      </c>
      <c r="S23" s="7">
        <v>3</v>
      </c>
      <c r="T23" s="7">
        <v>1</v>
      </c>
      <c r="U23" s="7">
        <v>2</v>
      </c>
      <c r="V23" s="7">
        <v>2</v>
      </c>
      <c r="W23" s="7">
        <v>1</v>
      </c>
      <c r="X23" s="7">
        <v>2</v>
      </c>
      <c r="Y23" s="7">
        <v>3</v>
      </c>
      <c r="Z23" s="7">
        <v>1</v>
      </c>
      <c r="AA23" s="19">
        <v>1</v>
      </c>
      <c r="AB23" s="7">
        <v>1</v>
      </c>
      <c r="AC23" s="7">
        <v>1</v>
      </c>
      <c r="AD23" s="7">
        <v>1</v>
      </c>
      <c r="AE23" s="7">
        <v>1</v>
      </c>
      <c r="AF23" s="11">
        <f t="shared" si="0"/>
        <v>51</v>
      </c>
      <c r="AG23" s="11">
        <f t="shared" si="1"/>
        <v>13</v>
      </c>
      <c r="AH23" s="11">
        <f t="shared" si="2"/>
        <v>12</v>
      </c>
      <c r="AI23" s="11">
        <f t="shared" si="3"/>
        <v>26</v>
      </c>
      <c r="AJ23" s="11"/>
      <c r="AK23" s="11"/>
      <c r="AL23" s="11"/>
    </row>
    <row r="24" spans="1:38" ht="14.5" x14ac:dyDescent="0.35">
      <c r="A24" s="7" t="s">
        <v>39</v>
      </c>
      <c r="B24" s="7">
        <v>1</v>
      </c>
      <c r="C24" s="7">
        <v>2</v>
      </c>
      <c r="D24" s="7">
        <v>1</v>
      </c>
      <c r="E24" s="7">
        <v>3</v>
      </c>
      <c r="F24" s="7">
        <v>1</v>
      </c>
      <c r="G24" s="7">
        <v>1</v>
      </c>
      <c r="H24" s="7">
        <v>1</v>
      </c>
      <c r="I24" s="7">
        <v>3</v>
      </c>
      <c r="J24" s="7">
        <v>2</v>
      </c>
      <c r="K24" s="7">
        <v>2</v>
      </c>
      <c r="L24" s="7">
        <v>2</v>
      </c>
      <c r="M24" s="7">
        <v>3</v>
      </c>
      <c r="N24" s="7">
        <v>2</v>
      </c>
      <c r="O24" s="7">
        <v>1</v>
      </c>
      <c r="P24" s="7">
        <v>1</v>
      </c>
      <c r="Q24" s="7">
        <v>2</v>
      </c>
      <c r="R24" s="7">
        <v>1</v>
      </c>
      <c r="S24" s="7">
        <v>2</v>
      </c>
      <c r="T24" s="7">
        <v>1</v>
      </c>
      <c r="U24" s="7">
        <v>1</v>
      </c>
      <c r="V24" s="7">
        <v>2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f t="shared" si="0"/>
        <v>44</v>
      </c>
      <c r="AG24" s="7">
        <f t="shared" si="1"/>
        <v>10</v>
      </c>
      <c r="AH24" s="7">
        <f t="shared" si="2"/>
        <v>15</v>
      </c>
      <c r="AI24" s="7">
        <f t="shared" si="3"/>
        <v>19</v>
      </c>
      <c r="AJ24" s="11"/>
      <c r="AK24" s="11"/>
      <c r="AL24" s="11"/>
    </row>
    <row r="25" spans="1:38" ht="14.5" x14ac:dyDescent="0.35">
      <c r="A25" s="7" t="s">
        <v>41</v>
      </c>
      <c r="B25" s="3">
        <v>1</v>
      </c>
      <c r="C25" s="3">
        <v>3</v>
      </c>
      <c r="D25" s="3">
        <v>1</v>
      </c>
      <c r="E25" s="3">
        <v>3</v>
      </c>
      <c r="F25" s="3">
        <v>1</v>
      </c>
      <c r="G25" s="3">
        <v>2</v>
      </c>
      <c r="H25" s="3">
        <v>1</v>
      </c>
      <c r="I25" s="3">
        <v>5</v>
      </c>
      <c r="J25" s="3">
        <v>2</v>
      </c>
      <c r="K25" s="3">
        <v>2</v>
      </c>
      <c r="L25" s="3">
        <v>1</v>
      </c>
      <c r="M25" s="3">
        <v>3</v>
      </c>
      <c r="N25" s="3">
        <v>1</v>
      </c>
      <c r="O25" s="3">
        <v>3</v>
      </c>
      <c r="P25" s="3">
        <v>5</v>
      </c>
      <c r="Q25" s="3">
        <v>5</v>
      </c>
      <c r="R25" s="3">
        <v>4</v>
      </c>
      <c r="S25" s="3">
        <v>3</v>
      </c>
      <c r="T25" s="3">
        <v>3</v>
      </c>
      <c r="U25" s="3">
        <v>4</v>
      </c>
      <c r="V25" s="3">
        <v>3</v>
      </c>
      <c r="W25" s="3">
        <v>1</v>
      </c>
      <c r="X25" s="3">
        <v>1</v>
      </c>
      <c r="Y25" s="3">
        <v>1</v>
      </c>
      <c r="Z25" s="3">
        <v>2</v>
      </c>
      <c r="AA25" s="3">
        <v>1</v>
      </c>
      <c r="AB25" s="3">
        <v>2</v>
      </c>
      <c r="AC25" s="3">
        <v>1</v>
      </c>
      <c r="AD25" s="3">
        <v>1</v>
      </c>
      <c r="AE25" s="3">
        <v>1</v>
      </c>
      <c r="AF25" s="3">
        <f t="shared" si="0"/>
        <v>67</v>
      </c>
      <c r="AG25" s="3">
        <f t="shared" si="1"/>
        <v>12</v>
      </c>
      <c r="AH25" s="3">
        <f t="shared" si="2"/>
        <v>17</v>
      </c>
      <c r="AI25" s="3">
        <f t="shared" si="3"/>
        <v>38</v>
      </c>
      <c r="AJ25" s="11"/>
      <c r="AK25" s="11"/>
      <c r="AL25" s="11"/>
    </row>
    <row r="26" spans="1:38" ht="14.5" x14ac:dyDescent="0.35">
      <c r="A26" s="7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1"/>
      <c r="AK26" s="11"/>
      <c r="AL26" s="11"/>
    </row>
    <row r="27" spans="1:38" ht="14.5" x14ac:dyDescent="0.35">
      <c r="A27" s="7" t="s">
        <v>43</v>
      </c>
      <c r="B27" s="7">
        <v>2</v>
      </c>
      <c r="C27" s="7">
        <v>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3</v>
      </c>
      <c r="J27" s="7">
        <v>3</v>
      </c>
      <c r="K27" s="7">
        <v>2</v>
      </c>
      <c r="L27" s="7">
        <v>4</v>
      </c>
      <c r="M27" s="7">
        <v>4</v>
      </c>
      <c r="N27" s="7">
        <v>4</v>
      </c>
      <c r="O27" s="7">
        <v>2</v>
      </c>
      <c r="P27" s="7">
        <v>1</v>
      </c>
      <c r="Q27" s="7">
        <v>3</v>
      </c>
      <c r="R27" s="7">
        <v>2</v>
      </c>
      <c r="S27" s="7">
        <v>2</v>
      </c>
      <c r="T27" s="7">
        <v>1</v>
      </c>
      <c r="U27" s="7">
        <v>2</v>
      </c>
      <c r="V27" s="7">
        <v>3</v>
      </c>
      <c r="W27" s="7">
        <v>2</v>
      </c>
      <c r="X27" s="7">
        <v>2</v>
      </c>
      <c r="Y27" s="7">
        <v>1</v>
      </c>
      <c r="Z27" s="7">
        <v>3</v>
      </c>
      <c r="AA27" s="7">
        <v>3</v>
      </c>
      <c r="AB27" s="7">
        <v>4</v>
      </c>
      <c r="AC27" s="7">
        <v>2</v>
      </c>
      <c r="AD27" s="7">
        <v>2</v>
      </c>
      <c r="AE27" s="7">
        <v>3</v>
      </c>
      <c r="AF27" s="3">
        <f t="shared" ref="AF27:AF51" si="4">SUM(B27:AE27)</f>
        <v>67</v>
      </c>
      <c r="AG27" s="3">
        <f t="shared" ref="AG27:AG51" si="5">SUM(B27:H27)</f>
        <v>9</v>
      </c>
      <c r="AH27" s="3">
        <f t="shared" ref="AH27:AH51" si="6">SUM(I27:O27)</f>
        <v>22</v>
      </c>
      <c r="AI27" s="3">
        <f t="shared" ref="AI27:AI51" si="7">SUM(P27:AE27)</f>
        <v>36</v>
      </c>
      <c r="AJ27" s="11"/>
      <c r="AK27" s="11"/>
      <c r="AL27" s="11"/>
    </row>
    <row r="28" spans="1:38" ht="14.5" x14ac:dyDescent="0.35">
      <c r="A28" s="7" t="s">
        <v>44</v>
      </c>
      <c r="B28" s="7">
        <v>2</v>
      </c>
      <c r="C28" s="7">
        <v>3</v>
      </c>
      <c r="D28" s="7">
        <v>1</v>
      </c>
      <c r="E28" s="7">
        <v>3</v>
      </c>
      <c r="F28" s="7">
        <v>1</v>
      </c>
      <c r="G28" s="7">
        <v>2</v>
      </c>
      <c r="H28" s="7">
        <v>1</v>
      </c>
      <c r="I28" s="7">
        <v>3</v>
      </c>
      <c r="J28" s="7">
        <v>3</v>
      </c>
      <c r="K28" s="7">
        <v>1</v>
      </c>
      <c r="L28" s="7">
        <v>2</v>
      </c>
      <c r="M28" s="7">
        <v>4</v>
      </c>
      <c r="N28" s="7">
        <v>1</v>
      </c>
      <c r="O28" s="7">
        <v>5</v>
      </c>
      <c r="P28" s="7">
        <v>2</v>
      </c>
      <c r="Q28" s="7">
        <v>3</v>
      </c>
      <c r="R28" s="7">
        <v>1</v>
      </c>
      <c r="S28" s="7">
        <v>2</v>
      </c>
      <c r="T28" s="7">
        <v>3</v>
      </c>
      <c r="U28" s="7">
        <v>3</v>
      </c>
      <c r="V28" s="7">
        <v>1</v>
      </c>
      <c r="W28" s="7">
        <v>1</v>
      </c>
      <c r="X28" s="7">
        <v>1</v>
      </c>
      <c r="Y28" s="7">
        <v>1</v>
      </c>
      <c r="Z28" s="7">
        <v>2</v>
      </c>
      <c r="AA28" s="7">
        <v>4</v>
      </c>
      <c r="AB28" s="7">
        <v>1</v>
      </c>
      <c r="AC28" s="7">
        <v>1</v>
      </c>
      <c r="AD28" s="7">
        <v>3</v>
      </c>
      <c r="AE28" s="7">
        <v>2</v>
      </c>
      <c r="AF28" s="11">
        <f t="shared" si="4"/>
        <v>63</v>
      </c>
      <c r="AG28" s="11">
        <f t="shared" si="5"/>
        <v>13</v>
      </c>
      <c r="AH28" s="11">
        <f t="shared" si="6"/>
        <v>19</v>
      </c>
      <c r="AI28" s="11">
        <f t="shared" si="7"/>
        <v>31</v>
      </c>
      <c r="AJ28" s="11"/>
      <c r="AK28" s="11"/>
      <c r="AL28" s="11"/>
    </row>
    <row r="29" spans="1:38" ht="14.5" x14ac:dyDescent="0.35">
      <c r="A29" s="7" t="s">
        <v>45</v>
      </c>
      <c r="B29" s="7">
        <v>1</v>
      </c>
      <c r="C29" s="7">
        <v>2</v>
      </c>
      <c r="D29" s="7">
        <v>5</v>
      </c>
      <c r="E29" s="7">
        <v>3</v>
      </c>
      <c r="F29" s="7">
        <v>1</v>
      </c>
      <c r="G29" s="7">
        <v>2</v>
      </c>
      <c r="H29" s="7">
        <v>1</v>
      </c>
      <c r="I29" s="7">
        <v>3</v>
      </c>
      <c r="J29" s="7">
        <v>2</v>
      </c>
      <c r="K29" s="7">
        <v>1</v>
      </c>
      <c r="L29" s="7">
        <v>2</v>
      </c>
      <c r="M29" s="7">
        <v>4</v>
      </c>
      <c r="N29" s="7">
        <v>1</v>
      </c>
      <c r="O29" s="7">
        <v>3</v>
      </c>
      <c r="P29" s="7">
        <v>2</v>
      </c>
      <c r="Q29" s="7">
        <v>4</v>
      </c>
      <c r="R29" s="7">
        <v>4</v>
      </c>
      <c r="S29" s="7">
        <v>3</v>
      </c>
      <c r="T29" s="7">
        <v>1</v>
      </c>
      <c r="U29" s="7">
        <v>3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2</v>
      </c>
      <c r="AC29" s="7">
        <v>1</v>
      </c>
      <c r="AD29" s="7">
        <v>1</v>
      </c>
      <c r="AE29" s="7">
        <v>2</v>
      </c>
      <c r="AF29" s="11">
        <f t="shared" si="4"/>
        <v>60</v>
      </c>
      <c r="AG29" s="11">
        <f t="shared" si="5"/>
        <v>15</v>
      </c>
      <c r="AH29" s="11">
        <f t="shared" si="6"/>
        <v>16</v>
      </c>
      <c r="AI29" s="11">
        <f t="shared" si="7"/>
        <v>29</v>
      </c>
      <c r="AJ29" s="11"/>
      <c r="AK29" s="11"/>
      <c r="AL29" s="11"/>
    </row>
    <row r="30" spans="1:38" ht="14.5" x14ac:dyDescent="0.35">
      <c r="A30" s="7" t="s">
        <v>46</v>
      </c>
      <c r="B30" s="7">
        <v>2</v>
      </c>
      <c r="C30" s="7">
        <v>2</v>
      </c>
      <c r="D30" s="7">
        <v>2</v>
      </c>
      <c r="E30" s="7">
        <v>2</v>
      </c>
      <c r="F30" s="7">
        <v>4</v>
      </c>
      <c r="G30" s="7">
        <v>3</v>
      </c>
      <c r="H30" s="7">
        <v>1</v>
      </c>
      <c r="I30" s="7">
        <v>2</v>
      </c>
      <c r="J30" s="7">
        <v>2</v>
      </c>
      <c r="K30" s="7">
        <v>1</v>
      </c>
      <c r="L30" s="7">
        <v>2</v>
      </c>
      <c r="M30" s="7">
        <v>4</v>
      </c>
      <c r="N30" s="7">
        <v>2</v>
      </c>
      <c r="O30" s="7">
        <v>2</v>
      </c>
      <c r="P30" s="7">
        <v>1</v>
      </c>
      <c r="Q30" s="7">
        <v>2</v>
      </c>
      <c r="R30" s="7">
        <v>1</v>
      </c>
      <c r="S30" s="7">
        <v>3</v>
      </c>
      <c r="T30" s="7">
        <v>3</v>
      </c>
      <c r="U30" s="7">
        <v>3</v>
      </c>
      <c r="V30" s="7">
        <v>4</v>
      </c>
      <c r="W30" s="7">
        <v>1</v>
      </c>
      <c r="X30" s="7">
        <v>4</v>
      </c>
      <c r="Y30" s="7">
        <v>4</v>
      </c>
      <c r="Z30" s="7">
        <v>4</v>
      </c>
      <c r="AA30" s="7">
        <v>3</v>
      </c>
      <c r="AB30" s="7">
        <v>3</v>
      </c>
      <c r="AC30" s="7">
        <v>3</v>
      </c>
      <c r="AD30" s="7">
        <v>1</v>
      </c>
      <c r="AE30" s="7">
        <v>2</v>
      </c>
      <c r="AF30" s="11">
        <f t="shared" si="4"/>
        <v>73</v>
      </c>
      <c r="AG30" s="11">
        <f t="shared" si="5"/>
        <v>16</v>
      </c>
      <c r="AH30" s="11">
        <f t="shared" si="6"/>
        <v>15</v>
      </c>
      <c r="AI30" s="11">
        <f t="shared" si="7"/>
        <v>42</v>
      </c>
      <c r="AJ30" s="11"/>
      <c r="AK30" s="11"/>
      <c r="AL30" s="11"/>
    </row>
    <row r="31" spans="1:38" ht="14.5" x14ac:dyDescent="0.35">
      <c r="A31" s="7" t="s">
        <v>48</v>
      </c>
      <c r="B31" s="7">
        <v>3</v>
      </c>
      <c r="C31" s="7">
        <v>3</v>
      </c>
      <c r="D31" s="7">
        <v>2</v>
      </c>
      <c r="E31" s="7">
        <v>2</v>
      </c>
      <c r="F31" s="7">
        <v>4</v>
      </c>
      <c r="G31" s="7">
        <v>1</v>
      </c>
      <c r="H31" s="7">
        <v>1</v>
      </c>
      <c r="I31" s="7">
        <v>2</v>
      </c>
      <c r="J31" s="7">
        <v>2</v>
      </c>
      <c r="K31" s="7">
        <v>2</v>
      </c>
      <c r="L31" s="7">
        <v>2</v>
      </c>
      <c r="M31" s="7">
        <v>5</v>
      </c>
      <c r="N31" s="7">
        <v>1</v>
      </c>
      <c r="O31" s="7">
        <v>1</v>
      </c>
      <c r="P31" s="7">
        <v>2</v>
      </c>
      <c r="Q31" s="7">
        <v>1</v>
      </c>
      <c r="R31" s="7">
        <v>1</v>
      </c>
      <c r="S31" s="7">
        <v>3</v>
      </c>
      <c r="T31" s="7">
        <v>1</v>
      </c>
      <c r="U31" s="7">
        <v>2</v>
      </c>
      <c r="V31" s="7">
        <v>1</v>
      </c>
      <c r="W31" s="7">
        <v>1</v>
      </c>
      <c r="X31" s="7">
        <v>3</v>
      </c>
      <c r="Y31" s="7">
        <v>3</v>
      </c>
      <c r="Z31" s="7">
        <v>3</v>
      </c>
      <c r="AA31" s="7">
        <v>5</v>
      </c>
      <c r="AB31" s="7">
        <v>1</v>
      </c>
      <c r="AC31" s="7">
        <v>1</v>
      </c>
      <c r="AD31" s="7">
        <v>1</v>
      </c>
      <c r="AE31" s="7">
        <v>2</v>
      </c>
      <c r="AF31" s="11">
        <f t="shared" si="4"/>
        <v>62</v>
      </c>
      <c r="AG31" s="11">
        <f t="shared" si="5"/>
        <v>16</v>
      </c>
      <c r="AH31" s="11">
        <f t="shared" si="6"/>
        <v>15</v>
      </c>
      <c r="AI31" s="11">
        <f t="shared" si="7"/>
        <v>31</v>
      </c>
      <c r="AJ31" s="11"/>
      <c r="AK31" s="11"/>
      <c r="AL31" s="11"/>
    </row>
    <row r="32" spans="1:38" ht="14.5" x14ac:dyDescent="0.35">
      <c r="A32" s="7" t="s">
        <v>49</v>
      </c>
      <c r="B32" s="7">
        <v>4</v>
      </c>
      <c r="C32" s="7">
        <v>2</v>
      </c>
      <c r="D32" s="7">
        <v>2</v>
      </c>
      <c r="E32" s="7">
        <v>1</v>
      </c>
      <c r="F32" s="7">
        <v>3</v>
      </c>
      <c r="G32" s="7">
        <v>3</v>
      </c>
      <c r="H32" s="7">
        <v>1</v>
      </c>
      <c r="I32" s="7">
        <v>3</v>
      </c>
      <c r="J32" s="7">
        <v>2</v>
      </c>
      <c r="K32" s="7">
        <v>1</v>
      </c>
      <c r="L32" s="7">
        <v>2</v>
      </c>
      <c r="M32" s="7">
        <v>3</v>
      </c>
      <c r="N32" s="7">
        <v>1</v>
      </c>
      <c r="O32" s="7">
        <v>2</v>
      </c>
      <c r="P32" s="7">
        <v>1</v>
      </c>
      <c r="Q32" s="7">
        <v>1</v>
      </c>
      <c r="R32" s="7">
        <v>3</v>
      </c>
      <c r="S32" s="7">
        <v>2</v>
      </c>
      <c r="T32" s="7">
        <v>1</v>
      </c>
      <c r="U32" s="7">
        <v>1</v>
      </c>
      <c r="V32" s="7">
        <v>1</v>
      </c>
      <c r="W32" s="7">
        <v>1</v>
      </c>
      <c r="X32" s="7">
        <v>4</v>
      </c>
      <c r="Y32" s="7">
        <v>1</v>
      </c>
      <c r="Z32" s="7">
        <v>1</v>
      </c>
      <c r="AA32" s="7">
        <v>2</v>
      </c>
      <c r="AB32" s="7">
        <v>1</v>
      </c>
      <c r="AC32" s="7">
        <v>1</v>
      </c>
      <c r="AD32" s="7">
        <v>1</v>
      </c>
      <c r="AE32" s="7">
        <v>1</v>
      </c>
      <c r="AF32" s="11">
        <f t="shared" si="4"/>
        <v>53</v>
      </c>
      <c r="AG32" s="11">
        <f t="shared" si="5"/>
        <v>16</v>
      </c>
      <c r="AH32" s="11">
        <f t="shared" si="6"/>
        <v>14</v>
      </c>
      <c r="AI32" s="11">
        <f t="shared" si="7"/>
        <v>23</v>
      </c>
      <c r="AJ32" s="11"/>
      <c r="AK32" s="11"/>
      <c r="AL32" s="11"/>
    </row>
    <row r="33" spans="1:38" ht="14.5" x14ac:dyDescent="0.35">
      <c r="A33" s="7" t="s">
        <v>51</v>
      </c>
      <c r="B33" s="7">
        <v>1</v>
      </c>
      <c r="C33" s="7">
        <v>3</v>
      </c>
      <c r="D33" s="7">
        <v>1</v>
      </c>
      <c r="E33" s="7">
        <v>3</v>
      </c>
      <c r="F33" s="7">
        <v>1</v>
      </c>
      <c r="G33" s="7">
        <v>3</v>
      </c>
      <c r="H33" s="7">
        <v>1</v>
      </c>
      <c r="I33" s="7">
        <v>2</v>
      </c>
      <c r="J33" s="7">
        <v>2</v>
      </c>
      <c r="K33" s="7">
        <v>1</v>
      </c>
      <c r="L33" s="7">
        <v>2</v>
      </c>
      <c r="M33" s="7">
        <v>3</v>
      </c>
      <c r="N33" s="7">
        <v>1</v>
      </c>
      <c r="O33" s="7">
        <v>2</v>
      </c>
      <c r="P33" s="7">
        <v>3</v>
      </c>
      <c r="Q33" s="7">
        <v>3</v>
      </c>
      <c r="R33" s="7">
        <v>2</v>
      </c>
      <c r="S33" s="7">
        <v>3</v>
      </c>
      <c r="T33" s="7">
        <v>1</v>
      </c>
      <c r="U33" s="7">
        <v>2</v>
      </c>
      <c r="V33" s="7">
        <v>1</v>
      </c>
      <c r="W33" s="7">
        <v>1</v>
      </c>
      <c r="X33" s="7">
        <v>1</v>
      </c>
      <c r="Y33" s="7">
        <v>1</v>
      </c>
      <c r="Z33" s="7">
        <v>2</v>
      </c>
      <c r="AA33" s="7">
        <v>3</v>
      </c>
      <c r="AB33" s="7">
        <v>1</v>
      </c>
      <c r="AC33" s="7">
        <v>1</v>
      </c>
      <c r="AD33" s="7">
        <v>2</v>
      </c>
      <c r="AE33" s="7">
        <v>2</v>
      </c>
      <c r="AF33" s="11">
        <f t="shared" si="4"/>
        <v>55</v>
      </c>
      <c r="AG33" s="11">
        <f t="shared" si="5"/>
        <v>13</v>
      </c>
      <c r="AH33" s="11">
        <f t="shared" si="6"/>
        <v>13</v>
      </c>
      <c r="AI33" s="11">
        <f t="shared" si="7"/>
        <v>29</v>
      </c>
      <c r="AJ33" s="11"/>
      <c r="AK33" s="11"/>
      <c r="AL33" s="11"/>
    </row>
    <row r="34" spans="1:38" ht="14.5" x14ac:dyDescent="0.35">
      <c r="A34" s="7" t="s">
        <v>53</v>
      </c>
      <c r="B34" s="7">
        <v>2</v>
      </c>
      <c r="C34" s="7">
        <v>3</v>
      </c>
      <c r="D34" s="7">
        <v>1</v>
      </c>
      <c r="E34" s="7">
        <v>3</v>
      </c>
      <c r="F34" s="7">
        <v>1</v>
      </c>
      <c r="G34" s="7">
        <v>2</v>
      </c>
      <c r="H34" s="7">
        <v>1</v>
      </c>
      <c r="I34" s="7">
        <v>3</v>
      </c>
      <c r="J34" s="7">
        <v>2</v>
      </c>
      <c r="K34" s="7">
        <v>1</v>
      </c>
      <c r="L34" s="7">
        <v>3</v>
      </c>
      <c r="M34" s="7">
        <v>3</v>
      </c>
      <c r="N34" s="7">
        <v>1</v>
      </c>
      <c r="O34" s="7">
        <v>1</v>
      </c>
      <c r="P34" s="7">
        <v>1</v>
      </c>
      <c r="Q34" s="7">
        <v>2</v>
      </c>
      <c r="R34" s="7">
        <v>1</v>
      </c>
      <c r="S34" s="7">
        <v>1</v>
      </c>
      <c r="T34" s="7">
        <v>3</v>
      </c>
      <c r="U34" s="7">
        <v>3</v>
      </c>
      <c r="V34" s="7">
        <v>3</v>
      </c>
      <c r="W34" s="7">
        <v>1</v>
      </c>
      <c r="X34" s="7">
        <v>1</v>
      </c>
      <c r="Y34" s="7">
        <v>2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3</v>
      </c>
      <c r="AF34" s="11">
        <f t="shared" si="4"/>
        <v>53</v>
      </c>
      <c r="AG34" s="11">
        <f t="shared" si="5"/>
        <v>13</v>
      </c>
      <c r="AH34" s="11">
        <f t="shared" si="6"/>
        <v>14</v>
      </c>
      <c r="AI34" s="11">
        <f t="shared" si="7"/>
        <v>26</v>
      </c>
      <c r="AJ34" s="11"/>
      <c r="AK34" s="11"/>
      <c r="AL34" s="11"/>
    </row>
    <row r="35" spans="1:38" ht="14.5" x14ac:dyDescent="0.35">
      <c r="A35" s="7" t="s">
        <v>55</v>
      </c>
      <c r="B35" s="7">
        <v>3</v>
      </c>
      <c r="C35" s="7">
        <v>2</v>
      </c>
      <c r="D35" s="7">
        <v>3</v>
      </c>
      <c r="E35" s="7">
        <v>1</v>
      </c>
      <c r="F35" s="7">
        <v>1</v>
      </c>
      <c r="G35" s="7">
        <v>2</v>
      </c>
      <c r="H35" s="7">
        <v>1</v>
      </c>
      <c r="I35" s="7">
        <v>3</v>
      </c>
      <c r="J35" s="7">
        <v>3</v>
      </c>
      <c r="K35" s="7">
        <v>1</v>
      </c>
      <c r="L35" s="7">
        <v>4</v>
      </c>
      <c r="M35" s="7">
        <v>1</v>
      </c>
      <c r="N35" s="7">
        <v>2</v>
      </c>
      <c r="O35" s="7">
        <v>1</v>
      </c>
      <c r="P35" s="7">
        <v>1</v>
      </c>
      <c r="Q35" s="7">
        <v>3</v>
      </c>
      <c r="R35" s="7">
        <v>4</v>
      </c>
      <c r="S35" s="7">
        <v>2</v>
      </c>
      <c r="T35" s="7">
        <v>1</v>
      </c>
      <c r="U35" s="7">
        <v>1</v>
      </c>
      <c r="V35" s="7">
        <v>3</v>
      </c>
      <c r="W35" s="7">
        <v>1</v>
      </c>
      <c r="X35" s="7">
        <v>2</v>
      </c>
      <c r="Y35" s="7">
        <v>1</v>
      </c>
      <c r="Z35" s="7">
        <v>1</v>
      </c>
      <c r="AA35" s="7">
        <v>1</v>
      </c>
      <c r="AB35" s="7">
        <v>2</v>
      </c>
      <c r="AC35" s="7">
        <v>1</v>
      </c>
      <c r="AD35" s="7">
        <v>1</v>
      </c>
      <c r="AE35" s="7">
        <v>3</v>
      </c>
      <c r="AF35" s="11">
        <f t="shared" si="4"/>
        <v>56</v>
      </c>
      <c r="AG35" s="11">
        <f t="shared" si="5"/>
        <v>13</v>
      </c>
      <c r="AH35" s="11">
        <f t="shared" si="6"/>
        <v>15</v>
      </c>
      <c r="AI35" s="11">
        <f t="shared" si="7"/>
        <v>28</v>
      </c>
      <c r="AJ35" s="11"/>
      <c r="AK35" s="11"/>
      <c r="AL35" s="11"/>
    </row>
    <row r="36" spans="1:38" ht="14.5" x14ac:dyDescent="0.35">
      <c r="A36" s="7" t="s">
        <v>56</v>
      </c>
      <c r="B36" s="7">
        <v>1</v>
      </c>
      <c r="C36" s="7">
        <v>1</v>
      </c>
      <c r="D36" s="7">
        <v>4</v>
      </c>
      <c r="E36" s="7">
        <v>2</v>
      </c>
      <c r="F36" s="7">
        <v>1</v>
      </c>
      <c r="G36" s="7">
        <v>1</v>
      </c>
      <c r="H36" s="7">
        <v>1</v>
      </c>
      <c r="I36" s="7">
        <v>1</v>
      </c>
      <c r="J36" s="7">
        <v>3</v>
      </c>
      <c r="K36" s="7">
        <v>1</v>
      </c>
      <c r="L36" s="7">
        <v>3</v>
      </c>
      <c r="M36" s="7">
        <v>3</v>
      </c>
      <c r="N36" s="7">
        <v>1</v>
      </c>
      <c r="O36" s="7">
        <v>1</v>
      </c>
      <c r="P36" s="7">
        <v>2</v>
      </c>
      <c r="Q36" s="7">
        <v>3</v>
      </c>
      <c r="R36" s="7">
        <v>1</v>
      </c>
      <c r="S36" s="7">
        <v>2</v>
      </c>
      <c r="T36" s="7">
        <v>1</v>
      </c>
      <c r="U36" s="7">
        <v>3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2</v>
      </c>
      <c r="AC36" s="7">
        <v>1</v>
      </c>
      <c r="AD36" s="7">
        <v>1</v>
      </c>
      <c r="AE36" s="7">
        <v>4</v>
      </c>
      <c r="AF36" s="11">
        <f t="shared" si="4"/>
        <v>50</v>
      </c>
      <c r="AG36" s="11">
        <f t="shared" si="5"/>
        <v>11</v>
      </c>
      <c r="AH36" s="11">
        <f t="shared" si="6"/>
        <v>13</v>
      </c>
      <c r="AI36" s="11">
        <f t="shared" si="7"/>
        <v>26</v>
      </c>
      <c r="AJ36" s="11"/>
      <c r="AK36" s="11"/>
      <c r="AL36" s="11"/>
    </row>
    <row r="37" spans="1:38" ht="14.5" x14ac:dyDescent="0.35">
      <c r="A37" s="7" t="s">
        <v>57</v>
      </c>
      <c r="B37" s="7">
        <v>5</v>
      </c>
      <c r="C37" s="7">
        <v>3</v>
      </c>
      <c r="D37" s="7">
        <v>2</v>
      </c>
      <c r="E37" s="7">
        <v>1</v>
      </c>
      <c r="F37" s="7">
        <v>4</v>
      </c>
      <c r="G37" s="7">
        <v>1</v>
      </c>
      <c r="H37" s="7">
        <v>1</v>
      </c>
      <c r="I37" s="7">
        <v>3</v>
      </c>
      <c r="J37" s="7">
        <v>2</v>
      </c>
      <c r="K37" s="7">
        <v>1</v>
      </c>
      <c r="L37" s="7">
        <v>2</v>
      </c>
      <c r="M37" s="7">
        <v>3</v>
      </c>
      <c r="N37" s="7">
        <v>1</v>
      </c>
      <c r="O37" s="7">
        <v>4</v>
      </c>
      <c r="P37" s="7">
        <v>1</v>
      </c>
      <c r="Q37" s="7">
        <v>2</v>
      </c>
      <c r="R37" s="7">
        <v>2</v>
      </c>
      <c r="S37" s="7">
        <v>2</v>
      </c>
      <c r="T37" s="7">
        <v>1</v>
      </c>
      <c r="U37" s="7">
        <v>3</v>
      </c>
      <c r="V37" s="7">
        <v>2</v>
      </c>
      <c r="W37" s="7">
        <v>1</v>
      </c>
      <c r="X37" s="7">
        <v>4</v>
      </c>
      <c r="Y37" s="7">
        <v>1</v>
      </c>
      <c r="Z37" s="7">
        <v>1</v>
      </c>
      <c r="AA37" s="7">
        <v>4</v>
      </c>
      <c r="AB37" s="7">
        <v>1</v>
      </c>
      <c r="AC37" s="7">
        <v>1</v>
      </c>
      <c r="AD37" s="7">
        <v>1</v>
      </c>
      <c r="AE37" s="7">
        <v>2</v>
      </c>
      <c r="AF37" s="11">
        <f t="shared" si="4"/>
        <v>62</v>
      </c>
      <c r="AG37" s="11">
        <f t="shared" si="5"/>
        <v>17</v>
      </c>
      <c r="AH37" s="11">
        <f t="shared" si="6"/>
        <v>16</v>
      </c>
      <c r="AI37" s="11">
        <f t="shared" si="7"/>
        <v>29</v>
      </c>
      <c r="AJ37" s="11"/>
      <c r="AK37" s="11"/>
      <c r="AL37" s="11"/>
    </row>
    <row r="38" spans="1:38" ht="14.5" x14ac:dyDescent="0.35">
      <c r="A38" s="7" t="s">
        <v>58</v>
      </c>
      <c r="B38" s="7">
        <v>3</v>
      </c>
      <c r="C38" s="7">
        <v>4</v>
      </c>
      <c r="D38" s="7">
        <v>3</v>
      </c>
      <c r="E38" s="7">
        <v>3</v>
      </c>
      <c r="F38" s="7">
        <v>2</v>
      </c>
      <c r="G38" s="7">
        <v>4</v>
      </c>
      <c r="H38" s="7">
        <v>3</v>
      </c>
      <c r="I38" s="7">
        <v>4</v>
      </c>
      <c r="J38" s="7">
        <v>4</v>
      </c>
      <c r="K38" s="7">
        <v>4</v>
      </c>
      <c r="L38" s="7">
        <v>4</v>
      </c>
      <c r="M38" s="7">
        <v>5</v>
      </c>
      <c r="N38" s="7">
        <v>4</v>
      </c>
      <c r="O38" s="7">
        <v>4</v>
      </c>
      <c r="P38" s="7">
        <v>4</v>
      </c>
      <c r="Q38" s="7">
        <v>4</v>
      </c>
      <c r="R38" s="7">
        <v>1</v>
      </c>
      <c r="S38" s="7">
        <v>4</v>
      </c>
      <c r="T38" s="7">
        <v>3</v>
      </c>
      <c r="U38" s="7">
        <v>4</v>
      </c>
      <c r="V38" s="7">
        <v>4</v>
      </c>
      <c r="W38" s="7">
        <v>2</v>
      </c>
      <c r="X38" s="7">
        <v>3</v>
      </c>
      <c r="Y38" s="7">
        <v>4</v>
      </c>
      <c r="Z38" s="7">
        <v>3</v>
      </c>
      <c r="AA38" s="7">
        <v>3</v>
      </c>
      <c r="AB38" s="7">
        <v>3</v>
      </c>
      <c r="AC38" s="7">
        <v>3</v>
      </c>
      <c r="AD38" s="7">
        <v>2</v>
      </c>
      <c r="AE38" s="7">
        <v>3</v>
      </c>
      <c r="AF38" s="11">
        <f t="shared" si="4"/>
        <v>101</v>
      </c>
      <c r="AG38" s="11">
        <f t="shared" si="5"/>
        <v>22</v>
      </c>
      <c r="AH38" s="11">
        <f t="shared" si="6"/>
        <v>29</v>
      </c>
      <c r="AI38" s="11">
        <f t="shared" si="7"/>
        <v>50</v>
      </c>
      <c r="AJ38" s="11"/>
      <c r="AK38" s="11"/>
      <c r="AL38" s="11"/>
    </row>
    <row r="39" spans="1:38" ht="14.5" x14ac:dyDescent="0.35">
      <c r="A39" s="7" t="s">
        <v>59</v>
      </c>
      <c r="B39" s="7">
        <v>2</v>
      </c>
      <c r="C39" s="7">
        <v>3</v>
      </c>
      <c r="D39" s="7">
        <v>3</v>
      </c>
      <c r="E39" s="7">
        <v>2</v>
      </c>
      <c r="F39" s="7">
        <v>1</v>
      </c>
      <c r="G39" s="7">
        <v>2</v>
      </c>
      <c r="H39" s="7">
        <v>1</v>
      </c>
      <c r="I39" s="7">
        <v>2</v>
      </c>
      <c r="J39" s="7">
        <v>4</v>
      </c>
      <c r="K39" s="7">
        <v>1</v>
      </c>
      <c r="L39" s="7">
        <v>4</v>
      </c>
      <c r="M39" s="7">
        <v>4</v>
      </c>
      <c r="N39" s="7">
        <v>1</v>
      </c>
      <c r="O39" s="7">
        <v>1</v>
      </c>
      <c r="P39" s="7">
        <v>2</v>
      </c>
      <c r="Q39" s="7">
        <v>5</v>
      </c>
      <c r="R39" s="7">
        <v>1</v>
      </c>
      <c r="S39" s="7">
        <v>3</v>
      </c>
      <c r="T39" s="7">
        <v>2</v>
      </c>
      <c r="U39" s="7">
        <v>2</v>
      </c>
      <c r="V39" s="7">
        <v>1</v>
      </c>
      <c r="W39" s="7">
        <v>1</v>
      </c>
      <c r="X39" s="7">
        <v>2</v>
      </c>
      <c r="Y39" s="7">
        <v>2</v>
      </c>
      <c r="Z39" s="7">
        <v>1</v>
      </c>
      <c r="AA39" s="7">
        <v>1</v>
      </c>
      <c r="AB39" s="7">
        <v>2</v>
      </c>
      <c r="AC39" s="7">
        <v>2</v>
      </c>
      <c r="AD39" s="7">
        <v>1</v>
      </c>
      <c r="AE39" s="7">
        <v>4</v>
      </c>
      <c r="AF39" s="11">
        <f t="shared" si="4"/>
        <v>63</v>
      </c>
      <c r="AG39" s="11">
        <f t="shared" si="5"/>
        <v>14</v>
      </c>
      <c r="AH39" s="11">
        <f t="shared" si="6"/>
        <v>17</v>
      </c>
      <c r="AI39" s="11">
        <f t="shared" si="7"/>
        <v>32</v>
      </c>
      <c r="AJ39" s="11"/>
      <c r="AK39" s="11"/>
      <c r="AL39" s="11"/>
    </row>
    <row r="40" spans="1:38" ht="14.5" x14ac:dyDescent="0.35">
      <c r="A40" s="7" t="s">
        <v>60</v>
      </c>
      <c r="B40" s="7">
        <v>1</v>
      </c>
      <c r="C40" s="7">
        <v>3</v>
      </c>
      <c r="D40" s="7">
        <v>1</v>
      </c>
      <c r="E40" s="7">
        <v>3</v>
      </c>
      <c r="F40" s="7">
        <v>3</v>
      </c>
      <c r="G40" s="7">
        <v>2</v>
      </c>
      <c r="H40" s="7">
        <v>2</v>
      </c>
      <c r="I40" s="7">
        <v>2</v>
      </c>
      <c r="J40" s="7">
        <v>1</v>
      </c>
      <c r="K40" s="7">
        <v>2</v>
      </c>
      <c r="L40" s="7">
        <v>1</v>
      </c>
      <c r="M40" s="7">
        <v>3</v>
      </c>
      <c r="N40" s="7">
        <v>1</v>
      </c>
      <c r="O40" s="7">
        <v>2</v>
      </c>
      <c r="P40" s="7">
        <v>1</v>
      </c>
      <c r="Q40" s="7">
        <v>1</v>
      </c>
      <c r="R40" s="7">
        <v>1</v>
      </c>
      <c r="S40" s="7">
        <v>2</v>
      </c>
      <c r="T40" s="7">
        <v>1</v>
      </c>
      <c r="U40" s="7">
        <v>3</v>
      </c>
      <c r="V40" s="7">
        <v>1</v>
      </c>
      <c r="W40" s="7">
        <v>3</v>
      </c>
      <c r="X40" s="7">
        <v>3</v>
      </c>
      <c r="Y40" s="7">
        <v>1</v>
      </c>
      <c r="Z40" s="7">
        <v>1</v>
      </c>
      <c r="AA40" s="7">
        <v>4</v>
      </c>
      <c r="AB40" s="7">
        <v>1</v>
      </c>
      <c r="AC40" s="7">
        <v>3</v>
      </c>
      <c r="AD40" s="7">
        <v>1</v>
      </c>
      <c r="AE40" s="7">
        <v>1</v>
      </c>
      <c r="AF40" s="11">
        <f t="shared" si="4"/>
        <v>55</v>
      </c>
      <c r="AG40" s="11">
        <f t="shared" si="5"/>
        <v>15</v>
      </c>
      <c r="AH40" s="11">
        <f t="shared" si="6"/>
        <v>12</v>
      </c>
      <c r="AI40" s="11">
        <f t="shared" si="7"/>
        <v>28</v>
      </c>
      <c r="AJ40" s="11"/>
      <c r="AK40" s="11"/>
      <c r="AL40" s="11"/>
    </row>
    <row r="41" spans="1:38" ht="14.5" x14ac:dyDescent="0.35">
      <c r="A41" s="7" t="s">
        <v>62</v>
      </c>
      <c r="B41" s="7">
        <v>1</v>
      </c>
      <c r="C41" s="7">
        <v>1</v>
      </c>
      <c r="D41" s="7">
        <v>3</v>
      </c>
      <c r="E41" s="7">
        <v>3</v>
      </c>
      <c r="F41" s="7">
        <v>2</v>
      </c>
      <c r="G41" s="7">
        <v>1</v>
      </c>
      <c r="H41" s="7">
        <v>1</v>
      </c>
      <c r="I41" s="7">
        <v>3</v>
      </c>
      <c r="J41" s="7">
        <v>3</v>
      </c>
      <c r="K41" s="7">
        <v>2</v>
      </c>
      <c r="L41" s="7">
        <v>3</v>
      </c>
      <c r="M41" s="7">
        <v>3</v>
      </c>
      <c r="N41" s="7">
        <v>1</v>
      </c>
      <c r="O41" s="7">
        <v>2</v>
      </c>
      <c r="P41" s="7">
        <v>1</v>
      </c>
      <c r="Q41" s="7">
        <v>1</v>
      </c>
      <c r="R41" s="7">
        <v>1</v>
      </c>
      <c r="S41" s="7">
        <v>3</v>
      </c>
      <c r="T41" s="7">
        <v>3</v>
      </c>
      <c r="U41" s="7">
        <v>1</v>
      </c>
      <c r="V41" s="7">
        <v>2</v>
      </c>
      <c r="W41" s="7">
        <v>1</v>
      </c>
      <c r="X41" s="7">
        <v>2</v>
      </c>
      <c r="Y41" s="7">
        <v>2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3</v>
      </c>
      <c r="AF41" s="11">
        <f t="shared" si="4"/>
        <v>54</v>
      </c>
      <c r="AG41" s="11">
        <f t="shared" si="5"/>
        <v>12</v>
      </c>
      <c r="AH41" s="11">
        <f t="shared" si="6"/>
        <v>17</v>
      </c>
      <c r="AI41" s="11">
        <f t="shared" si="7"/>
        <v>25</v>
      </c>
      <c r="AJ41" s="11"/>
      <c r="AK41" s="11"/>
      <c r="AL41" s="11"/>
    </row>
    <row r="42" spans="1:38" ht="14.5" x14ac:dyDescent="0.35">
      <c r="A42" s="7" t="s">
        <v>63</v>
      </c>
      <c r="B42" s="7">
        <v>2</v>
      </c>
      <c r="C42" s="7">
        <v>2</v>
      </c>
      <c r="D42" s="7">
        <v>3</v>
      </c>
      <c r="E42" s="7">
        <v>2</v>
      </c>
      <c r="F42" s="7">
        <v>1</v>
      </c>
      <c r="G42" s="7">
        <v>2</v>
      </c>
      <c r="H42" s="7">
        <v>1</v>
      </c>
      <c r="I42" s="7">
        <v>3</v>
      </c>
      <c r="J42" s="7">
        <v>3</v>
      </c>
      <c r="K42" s="7">
        <v>1</v>
      </c>
      <c r="L42" s="7">
        <v>2</v>
      </c>
      <c r="M42" s="7">
        <v>1</v>
      </c>
      <c r="N42" s="7">
        <v>1</v>
      </c>
      <c r="O42" s="7">
        <v>2</v>
      </c>
      <c r="P42" s="7">
        <v>2</v>
      </c>
      <c r="Q42" s="7">
        <v>1</v>
      </c>
      <c r="R42" s="7">
        <v>1</v>
      </c>
      <c r="S42" s="7">
        <v>2</v>
      </c>
      <c r="T42" s="7">
        <v>2</v>
      </c>
      <c r="U42" s="7">
        <v>1</v>
      </c>
      <c r="V42" s="7">
        <v>1</v>
      </c>
      <c r="W42" s="7">
        <v>1</v>
      </c>
      <c r="X42" s="7">
        <v>3</v>
      </c>
      <c r="Y42" s="7">
        <v>1</v>
      </c>
      <c r="Z42" s="7">
        <v>2</v>
      </c>
      <c r="AA42" s="7">
        <v>3</v>
      </c>
      <c r="AB42" s="7">
        <v>3</v>
      </c>
      <c r="AC42" s="7">
        <v>1</v>
      </c>
      <c r="AD42" s="7">
        <v>2</v>
      </c>
      <c r="AE42" s="7">
        <v>3</v>
      </c>
      <c r="AF42" s="11">
        <f t="shared" si="4"/>
        <v>55</v>
      </c>
      <c r="AG42" s="11">
        <f t="shared" si="5"/>
        <v>13</v>
      </c>
      <c r="AH42" s="11">
        <f t="shared" si="6"/>
        <v>13</v>
      </c>
      <c r="AI42" s="11">
        <f t="shared" si="7"/>
        <v>29</v>
      </c>
      <c r="AJ42" s="11"/>
      <c r="AK42" s="11"/>
      <c r="AL42" s="11"/>
    </row>
    <row r="43" spans="1:38" ht="14.5" x14ac:dyDescent="0.35">
      <c r="A43" s="7" t="s">
        <v>65</v>
      </c>
      <c r="B43" s="7">
        <v>4</v>
      </c>
      <c r="C43" s="7">
        <v>3</v>
      </c>
      <c r="D43" s="7">
        <v>5</v>
      </c>
      <c r="E43" s="7">
        <v>2</v>
      </c>
      <c r="F43" s="7">
        <v>2</v>
      </c>
      <c r="G43" s="7">
        <v>3</v>
      </c>
      <c r="H43" s="7">
        <v>1</v>
      </c>
      <c r="I43" s="7">
        <v>3</v>
      </c>
      <c r="J43" s="7">
        <v>3</v>
      </c>
      <c r="K43" s="7">
        <v>3</v>
      </c>
      <c r="L43" s="7">
        <v>2</v>
      </c>
      <c r="M43" s="7">
        <v>2</v>
      </c>
      <c r="N43" s="7">
        <v>1</v>
      </c>
      <c r="O43" s="7">
        <v>3</v>
      </c>
      <c r="P43" s="7">
        <v>3</v>
      </c>
      <c r="Q43" s="7">
        <v>1</v>
      </c>
      <c r="R43" s="7">
        <v>1</v>
      </c>
      <c r="S43" s="7">
        <v>3</v>
      </c>
      <c r="T43" s="7">
        <v>1</v>
      </c>
      <c r="U43" s="7">
        <v>2</v>
      </c>
      <c r="V43" s="7">
        <v>2</v>
      </c>
      <c r="W43" s="7">
        <v>2</v>
      </c>
      <c r="X43" s="7">
        <v>4</v>
      </c>
      <c r="Y43" s="7">
        <v>1</v>
      </c>
      <c r="Z43" s="7">
        <v>2</v>
      </c>
      <c r="AA43" s="7">
        <v>6</v>
      </c>
      <c r="AB43" s="7">
        <v>1</v>
      </c>
      <c r="AC43" s="7">
        <v>1</v>
      </c>
      <c r="AD43" s="7">
        <v>2</v>
      </c>
      <c r="AE43" s="7">
        <v>3</v>
      </c>
      <c r="AF43" s="11">
        <f t="shared" si="4"/>
        <v>72</v>
      </c>
      <c r="AG43" s="11">
        <f t="shared" si="5"/>
        <v>20</v>
      </c>
      <c r="AH43" s="11">
        <f t="shared" si="6"/>
        <v>17</v>
      </c>
      <c r="AI43" s="11">
        <f t="shared" si="7"/>
        <v>35</v>
      </c>
      <c r="AJ43" s="11"/>
      <c r="AK43" s="11"/>
      <c r="AL43" s="11"/>
    </row>
    <row r="44" spans="1:38" ht="14.5" x14ac:dyDescent="0.35">
      <c r="A44" s="7" t="s">
        <v>66</v>
      </c>
      <c r="B44" s="7">
        <v>4</v>
      </c>
      <c r="C44" s="7">
        <v>3</v>
      </c>
      <c r="D44" s="7">
        <v>4</v>
      </c>
      <c r="E44" s="7">
        <v>3</v>
      </c>
      <c r="F44" s="7">
        <v>4</v>
      </c>
      <c r="G44" s="7">
        <v>1</v>
      </c>
      <c r="H44" s="7">
        <v>2</v>
      </c>
      <c r="I44" s="7">
        <v>3</v>
      </c>
      <c r="J44" s="7">
        <v>1</v>
      </c>
      <c r="K44" s="7">
        <v>2</v>
      </c>
      <c r="L44" s="7">
        <v>4</v>
      </c>
      <c r="M44" s="7">
        <v>2</v>
      </c>
      <c r="N44" s="7">
        <v>2</v>
      </c>
      <c r="O44" s="7">
        <v>3</v>
      </c>
      <c r="P44" s="7">
        <v>2</v>
      </c>
      <c r="Q44" s="7">
        <v>2</v>
      </c>
      <c r="R44" s="7">
        <v>1</v>
      </c>
      <c r="S44" s="7">
        <v>3</v>
      </c>
      <c r="T44" s="7">
        <v>3</v>
      </c>
      <c r="U44" s="7">
        <v>3</v>
      </c>
      <c r="V44" s="7">
        <v>2</v>
      </c>
      <c r="W44" s="7">
        <v>1</v>
      </c>
      <c r="X44" s="7">
        <v>4</v>
      </c>
      <c r="Y44" s="7">
        <v>1</v>
      </c>
      <c r="Z44" s="7">
        <v>2</v>
      </c>
      <c r="AA44" s="7">
        <v>4</v>
      </c>
      <c r="AB44" s="7">
        <v>3</v>
      </c>
      <c r="AC44" s="7">
        <v>2</v>
      </c>
      <c r="AD44" s="7">
        <v>3</v>
      </c>
      <c r="AE44" s="7">
        <v>4</v>
      </c>
      <c r="AF44" s="11">
        <f t="shared" si="4"/>
        <v>78</v>
      </c>
      <c r="AG44" s="11">
        <f t="shared" si="5"/>
        <v>21</v>
      </c>
      <c r="AH44" s="11">
        <f t="shared" si="6"/>
        <v>17</v>
      </c>
      <c r="AI44" s="11">
        <f t="shared" si="7"/>
        <v>40</v>
      </c>
      <c r="AJ44" s="11"/>
      <c r="AK44" s="11"/>
      <c r="AL44" s="11"/>
    </row>
    <row r="45" spans="1:38" ht="14.5" x14ac:dyDescent="0.35">
      <c r="A45" s="7" t="s">
        <v>67</v>
      </c>
      <c r="B45" s="7">
        <v>4</v>
      </c>
      <c r="C45" s="7">
        <v>3</v>
      </c>
      <c r="D45" s="7">
        <v>3</v>
      </c>
      <c r="E45" s="7">
        <v>3</v>
      </c>
      <c r="F45" s="7">
        <v>1</v>
      </c>
      <c r="G45" s="7">
        <v>4</v>
      </c>
      <c r="H45" s="7">
        <v>2</v>
      </c>
      <c r="I45" s="7">
        <v>4</v>
      </c>
      <c r="J45" s="7">
        <v>4</v>
      </c>
      <c r="K45" s="7">
        <v>3</v>
      </c>
      <c r="L45" s="7">
        <v>5</v>
      </c>
      <c r="M45" s="7">
        <v>4</v>
      </c>
      <c r="N45" s="7">
        <v>4</v>
      </c>
      <c r="O45" s="7">
        <v>4</v>
      </c>
      <c r="P45" s="7">
        <v>1</v>
      </c>
      <c r="Q45" s="7">
        <v>3</v>
      </c>
      <c r="R45" s="7">
        <v>1</v>
      </c>
      <c r="S45" s="7">
        <v>3</v>
      </c>
      <c r="T45" s="7">
        <v>4</v>
      </c>
      <c r="U45" s="7">
        <v>1</v>
      </c>
      <c r="V45" s="7">
        <v>2</v>
      </c>
      <c r="W45" s="7">
        <v>2</v>
      </c>
      <c r="X45" s="7">
        <v>3</v>
      </c>
      <c r="Y45" s="7">
        <v>1</v>
      </c>
      <c r="Z45" s="7">
        <v>3</v>
      </c>
      <c r="AA45" s="7">
        <v>1</v>
      </c>
      <c r="AB45" s="7">
        <v>1</v>
      </c>
      <c r="AC45" s="7">
        <v>1</v>
      </c>
      <c r="AD45" s="7">
        <v>3</v>
      </c>
      <c r="AE45" s="7">
        <v>3</v>
      </c>
      <c r="AF45" s="11">
        <f t="shared" si="4"/>
        <v>81</v>
      </c>
      <c r="AG45" s="11">
        <f t="shared" si="5"/>
        <v>20</v>
      </c>
      <c r="AH45" s="11">
        <f t="shared" si="6"/>
        <v>28</v>
      </c>
      <c r="AI45" s="11">
        <f t="shared" si="7"/>
        <v>33</v>
      </c>
      <c r="AJ45" s="11"/>
      <c r="AK45" s="11"/>
      <c r="AL45" s="11"/>
    </row>
    <row r="46" spans="1:38" ht="14.5" x14ac:dyDescent="0.35">
      <c r="A46" s="7" t="s">
        <v>68</v>
      </c>
      <c r="B46" s="7">
        <v>5</v>
      </c>
      <c r="C46" s="7">
        <v>4</v>
      </c>
      <c r="D46" s="7">
        <v>4</v>
      </c>
      <c r="E46" s="7">
        <v>3</v>
      </c>
      <c r="F46" s="7">
        <v>3</v>
      </c>
      <c r="G46" s="7">
        <v>4</v>
      </c>
      <c r="H46" s="7">
        <v>2</v>
      </c>
      <c r="I46" s="7">
        <v>4</v>
      </c>
      <c r="J46" s="7">
        <v>4</v>
      </c>
      <c r="K46" s="7">
        <v>4</v>
      </c>
      <c r="L46" s="7">
        <v>3</v>
      </c>
      <c r="M46" s="7">
        <v>4</v>
      </c>
      <c r="N46" s="7">
        <v>4</v>
      </c>
      <c r="O46" s="7">
        <v>4</v>
      </c>
      <c r="P46" s="7">
        <v>3</v>
      </c>
      <c r="Q46" s="7">
        <v>4</v>
      </c>
      <c r="R46" s="7">
        <v>4</v>
      </c>
      <c r="S46" s="7">
        <v>4</v>
      </c>
      <c r="T46" s="7">
        <v>4</v>
      </c>
      <c r="U46" s="7">
        <v>4</v>
      </c>
      <c r="V46" s="7">
        <v>5</v>
      </c>
      <c r="W46" s="7">
        <v>3</v>
      </c>
      <c r="X46" s="7">
        <v>5</v>
      </c>
      <c r="Y46" s="7">
        <v>1</v>
      </c>
      <c r="Z46" s="7">
        <v>3</v>
      </c>
      <c r="AA46" s="7">
        <v>3</v>
      </c>
      <c r="AB46" s="7">
        <v>2</v>
      </c>
      <c r="AC46" s="7">
        <v>3</v>
      </c>
      <c r="AD46" s="7">
        <v>4</v>
      </c>
      <c r="AE46" s="7">
        <v>3</v>
      </c>
      <c r="AF46" s="11">
        <f t="shared" si="4"/>
        <v>107</v>
      </c>
      <c r="AG46" s="11">
        <f t="shared" si="5"/>
        <v>25</v>
      </c>
      <c r="AH46" s="11">
        <f t="shared" si="6"/>
        <v>27</v>
      </c>
      <c r="AI46" s="11">
        <f t="shared" si="7"/>
        <v>55</v>
      </c>
      <c r="AJ46" s="11"/>
      <c r="AK46" s="11"/>
      <c r="AL46" s="11"/>
    </row>
    <row r="47" spans="1:38" ht="14.5" x14ac:dyDescent="0.35">
      <c r="A47" s="7" t="s">
        <v>69</v>
      </c>
      <c r="B47" s="7">
        <v>3</v>
      </c>
      <c r="C47" s="7">
        <v>3</v>
      </c>
      <c r="D47" s="7">
        <v>1</v>
      </c>
      <c r="E47" s="7">
        <v>2</v>
      </c>
      <c r="F47" s="7">
        <v>3</v>
      </c>
      <c r="G47" s="7">
        <v>2</v>
      </c>
      <c r="H47" s="7">
        <v>1</v>
      </c>
      <c r="I47" s="7">
        <v>3</v>
      </c>
      <c r="J47" s="7">
        <v>3</v>
      </c>
      <c r="K47" s="7">
        <v>1</v>
      </c>
      <c r="L47" s="7">
        <v>3</v>
      </c>
      <c r="M47" s="7">
        <v>1</v>
      </c>
      <c r="N47" s="7">
        <v>2</v>
      </c>
      <c r="O47" s="7">
        <v>3</v>
      </c>
      <c r="P47" s="7">
        <v>1</v>
      </c>
      <c r="Q47" s="7">
        <v>3</v>
      </c>
      <c r="R47" s="7">
        <v>1</v>
      </c>
      <c r="S47" s="7">
        <v>3</v>
      </c>
      <c r="T47" s="7">
        <v>3</v>
      </c>
      <c r="U47" s="7">
        <v>3</v>
      </c>
      <c r="V47" s="7">
        <v>2</v>
      </c>
      <c r="W47" s="7">
        <v>1</v>
      </c>
      <c r="X47" s="7">
        <v>3</v>
      </c>
      <c r="Y47" s="7">
        <v>3</v>
      </c>
      <c r="Z47" s="7">
        <v>1</v>
      </c>
      <c r="AA47" s="7">
        <v>4</v>
      </c>
      <c r="AB47" s="7">
        <v>2</v>
      </c>
      <c r="AC47" s="7">
        <v>1</v>
      </c>
      <c r="AD47" s="7">
        <v>1</v>
      </c>
      <c r="AE47" s="7">
        <v>4</v>
      </c>
      <c r="AF47" s="11">
        <f t="shared" si="4"/>
        <v>67</v>
      </c>
      <c r="AG47" s="11">
        <f t="shared" si="5"/>
        <v>15</v>
      </c>
      <c r="AH47" s="11">
        <f t="shared" si="6"/>
        <v>16</v>
      </c>
      <c r="AI47" s="11">
        <f t="shared" si="7"/>
        <v>36</v>
      </c>
      <c r="AJ47" s="11"/>
      <c r="AK47" s="11"/>
      <c r="AL47" s="11"/>
    </row>
    <row r="48" spans="1:38" ht="14.5" x14ac:dyDescent="0.35">
      <c r="A48" s="7" t="s">
        <v>70</v>
      </c>
      <c r="B48" s="7">
        <v>3</v>
      </c>
      <c r="C48" s="7">
        <v>2</v>
      </c>
      <c r="D48" s="7">
        <v>1</v>
      </c>
      <c r="E48" s="7">
        <v>3</v>
      </c>
      <c r="F48" s="7">
        <v>2</v>
      </c>
      <c r="G48" s="7">
        <v>2</v>
      </c>
      <c r="H48" s="7">
        <v>1</v>
      </c>
      <c r="I48" s="7">
        <v>3</v>
      </c>
      <c r="J48" s="7">
        <v>3</v>
      </c>
      <c r="K48" s="7">
        <v>1</v>
      </c>
      <c r="L48" s="7">
        <v>3</v>
      </c>
      <c r="M48" s="7">
        <v>1</v>
      </c>
      <c r="N48" s="7">
        <v>1</v>
      </c>
      <c r="O48" s="7">
        <v>3</v>
      </c>
      <c r="P48" s="7">
        <v>2</v>
      </c>
      <c r="Q48" s="7">
        <v>4</v>
      </c>
      <c r="R48" s="7">
        <v>6</v>
      </c>
      <c r="S48" s="7">
        <v>3</v>
      </c>
      <c r="T48" s="7">
        <v>3</v>
      </c>
      <c r="U48" s="7">
        <v>3</v>
      </c>
      <c r="V48" s="7">
        <v>3</v>
      </c>
      <c r="W48" s="7">
        <v>1</v>
      </c>
      <c r="X48" s="7">
        <v>1</v>
      </c>
      <c r="Y48" s="7">
        <v>1</v>
      </c>
      <c r="Z48" s="7">
        <v>2</v>
      </c>
      <c r="AA48" s="7">
        <v>2</v>
      </c>
      <c r="AB48" s="7">
        <v>3</v>
      </c>
      <c r="AC48" s="7">
        <v>1</v>
      </c>
      <c r="AD48" s="7">
        <v>1</v>
      </c>
      <c r="AE48" s="7">
        <v>3</v>
      </c>
      <c r="AF48" s="11">
        <f t="shared" si="4"/>
        <v>68</v>
      </c>
      <c r="AG48" s="11">
        <f t="shared" si="5"/>
        <v>14</v>
      </c>
      <c r="AH48" s="11">
        <f t="shared" si="6"/>
        <v>15</v>
      </c>
      <c r="AI48" s="11">
        <f t="shared" si="7"/>
        <v>39</v>
      </c>
      <c r="AJ48" s="11"/>
      <c r="AK48" s="11"/>
      <c r="AL48" s="11"/>
    </row>
    <row r="49" spans="1:38" ht="14.5" x14ac:dyDescent="0.35">
      <c r="A49" s="7" t="s">
        <v>71</v>
      </c>
      <c r="B49" s="7">
        <v>1</v>
      </c>
      <c r="C49" s="7">
        <v>2</v>
      </c>
      <c r="D49" s="7">
        <v>1</v>
      </c>
      <c r="E49" s="7">
        <v>3</v>
      </c>
      <c r="F49" s="7">
        <v>1</v>
      </c>
      <c r="G49" s="7">
        <v>1</v>
      </c>
      <c r="H49" s="7">
        <v>1</v>
      </c>
      <c r="I49" s="7">
        <v>4</v>
      </c>
      <c r="J49" s="7">
        <v>2</v>
      </c>
      <c r="K49" s="7">
        <v>2</v>
      </c>
      <c r="L49" s="7">
        <v>2</v>
      </c>
      <c r="M49" s="7">
        <v>1</v>
      </c>
      <c r="N49" s="7">
        <v>1</v>
      </c>
      <c r="O49" s="7">
        <v>2</v>
      </c>
      <c r="P49" s="7">
        <v>1</v>
      </c>
      <c r="Q49" s="7">
        <v>4</v>
      </c>
      <c r="R49" s="7">
        <v>2</v>
      </c>
      <c r="S49" s="7">
        <v>3</v>
      </c>
      <c r="T49" s="7">
        <v>3</v>
      </c>
      <c r="U49" s="7">
        <v>3</v>
      </c>
      <c r="V49" s="7">
        <v>3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3</v>
      </c>
      <c r="AC49" s="7">
        <v>1</v>
      </c>
      <c r="AD49" s="7">
        <v>2</v>
      </c>
      <c r="AE49" s="7">
        <v>1</v>
      </c>
      <c r="AF49" s="11">
        <f t="shared" si="4"/>
        <v>55</v>
      </c>
      <c r="AG49" s="11">
        <f t="shared" si="5"/>
        <v>10</v>
      </c>
      <c r="AH49" s="11">
        <f t="shared" si="6"/>
        <v>14</v>
      </c>
      <c r="AI49" s="11">
        <f t="shared" si="7"/>
        <v>31</v>
      </c>
      <c r="AJ49" s="11"/>
      <c r="AK49" s="11"/>
      <c r="AL49" s="11"/>
    </row>
    <row r="50" spans="1:38" ht="14.5" x14ac:dyDescent="0.35">
      <c r="A50" s="7" t="s">
        <v>72</v>
      </c>
      <c r="B50" s="7">
        <v>2</v>
      </c>
      <c r="C50" s="7">
        <v>2</v>
      </c>
      <c r="D50" s="7">
        <v>1</v>
      </c>
      <c r="E50" s="7">
        <v>1</v>
      </c>
      <c r="F50" s="7">
        <v>1</v>
      </c>
      <c r="G50" s="7">
        <v>3</v>
      </c>
      <c r="H50" s="7">
        <v>1</v>
      </c>
      <c r="I50" s="7">
        <v>4</v>
      </c>
      <c r="J50" s="7">
        <v>4</v>
      </c>
      <c r="K50" s="7">
        <v>2</v>
      </c>
      <c r="L50" s="7">
        <v>4</v>
      </c>
      <c r="M50" s="7">
        <v>1</v>
      </c>
      <c r="N50" s="7">
        <v>3</v>
      </c>
      <c r="O50" s="7">
        <v>2</v>
      </c>
      <c r="P50" s="7">
        <v>1</v>
      </c>
      <c r="Q50" s="7">
        <v>3</v>
      </c>
      <c r="R50" s="7">
        <v>1</v>
      </c>
      <c r="S50" s="7">
        <v>3</v>
      </c>
      <c r="T50" s="7">
        <v>3</v>
      </c>
      <c r="U50" s="7">
        <v>2</v>
      </c>
      <c r="V50" s="7">
        <v>4</v>
      </c>
      <c r="W50" s="7">
        <v>1</v>
      </c>
      <c r="X50" s="7">
        <v>2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3</v>
      </c>
      <c r="AF50" s="11">
        <f t="shared" si="4"/>
        <v>60</v>
      </c>
      <c r="AG50" s="11">
        <f t="shared" si="5"/>
        <v>11</v>
      </c>
      <c r="AH50" s="11">
        <f t="shared" si="6"/>
        <v>20</v>
      </c>
      <c r="AI50" s="11">
        <f t="shared" si="7"/>
        <v>29</v>
      </c>
      <c r="AJ50" s="11"/>
      <c r="AK50" s="11"/>
      <c r="AL50" s="11"/>
    </row>
    <row r="51" spans="1:38" ht="14.5" x14ac:dyDescent="0.35">
      <c r="A51" s="7" t="s">
        <v>73</v>
      </c>
      <c r="B51" s="7">
        <v>3</v>
      </c>
      <c r="C51" s="7">
        <v>2</v>
      </c>
      <c r="D51" s="7">
        <v>3</v>
      </c>
      <c r="E51" s="7">
        <v>2</v>
      </c>
      <c r="F51" s="7">
        <v>3</v>
      </c>
      <c r="G51" s="7">
        <v>4</v>
      </c>
      <c r="H51" s="7">
        <v>1</v>
      </c>
      <c r="I51" s="7">
        <v>5</v>
      </c>
      <c r="J51" s="7">
        <v>4</v>
      </c>
      <c r="K51" s="7">
        <v>3</v>
      </c>
      <c r="L51" s="7">
        <v>5</v>
      </c>
      <c r="M51" s="7">
        <v>1</v>
      </c>
      <c r="N51" s="7">
        <v>4</v>
      </c>
      <c r="O51" s="7">
        <v>2</v>
      </c>
      <c r="P51" s="7">
        <v>1</v>
      </c>
      <c r="Q51" s="7">
        <v>2</v>
      </c>
      <c r="R51" s="7">
        <v>1</v>
      </c>
      <c r="S51" s="7">
        <v>3</v>
      </c>
      <c r="T51" s="7">
        <v>3</v>
      </c>
      <c r="U51" s="7">
        <v>1</v>
      </c>
      <c r="V51" s="7">
        <v>3</v>
      </c>
      <c r="W51" s="7">
        <v>1</v>
      </c>
      <c r="X51" s="7">
        <v>3</v>
      </c>
      <c r="Y51" s="7">
        <v>1</v>
      </c>
      <c r="Z51" s="7">
        <v>1</v>
      </c>
      <c r="AA51" s="7">
        <v>1</v>
      </c>
      <c r="AB51" s="7">
        <v>2</v>
      </c>
      <c r="AC51" s="7">
        <v>1</v>
      </c>
      <c r="AD51" s="7">
        <v>3</v>
      </c>
      <c r="AE51" s="7">
        <v>4</v>
      </c>
      <c r="AF51" s="11">
        <f t="shared" si="4"/>
        <v>73</v>
      </c>
      <c r="AG51" s="11">
        <f t="shared" si="5"/>
        <v>18</v>
      </c>
      <c r="AH51" s="11">
        <f t="shared" si="6"/>
        <v>24</v>
      </c>
      <c r="AI51" s="11">
        <f t="shared" si="7"/>
        <v>31</v>
      </c>
      <c r="AJ51" s="11"/>
      <c r="AK51" s="11"/>
      <c r="AL51" s="1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</vt:lpstr>
      <vt:lpstr>pharmacotheraphy</vt:lpstr>
      <vt:lpstr>current_medication</vt:lpstr>
      <vt:lpstr>PANSS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Racz, F. Samuel</cp:lastModifiedBy>
  <cp:revision>6</cp:revision>
  <dcterms:created xsi:type="dcterms:W3CDTF">2025-02-05T11:06:19Z</dcterms:created>
  <dcterms:modified xsi:type="dcterms:W3CDTF">2025-02-10T14:09:23Z</dcterms:modified>
  <dc:language>en-US</dc:language>
</cp:coreProperties>
</file>